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0" yWindow="180" windowWidth="15360" windowHeight="8115" tabRatio="500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1" l="1"/>
  <c r="H45" i="1" s="1"/>
  <c r="I45" i="1" s="1"/>
  <c r="J45" i="1" s="1"/>
  <c r="K45" i="1" s="1"/>
  <c r="L45" i="1" s="1"/>
  <c r="M45" i="1" s="1"/>
  <c r="F45" i="1"/>
  <c r="E45" i="1"/>
  <c r="E38" i="1"/>
  <c r="B45" i="1"/>
  <c r="B38" i="1"/>
  <c r="K34" i="1" l="1"/>
  <c r="L34" i="1" s="1"/>
  <c r="N34" i="1" s="1"/>
  <c r="G34" i="1"/>
  <c r="H34" i="1"/>
  <c r="I34" i="1" s="1"/>
  <c r="J34" i="1" s="1"/>
  <c r="F34" i="1"/>
  <c r="B43" i="1"/>
  <c r="B42" i="1"/>
  <c r="B41" i="1"/>
  <c r="B40" i="1"/>
  <c r="N43" i="1"/>
  <c r="N42" i="1"/>
  <c r="N41" i="1"/>
  <c r="N40" i="1"/>
  <c r="M43" i="1"/>
  <c r="M42" i="1"/>
  <c r="M41" i="1"/>
  <c r="M40" i="1"/>
  <c r="L43" i="1"/>
  <c r="L42" i="1"/>
  <c r="L41" i="1"/>
  <c r="L40" i="1"/>
  <c r="K43" i="1"/>
  <c r="K42" i="1"/>
  <c r="K41" i="1"/>
  <c r="K40" i="1"/>
  <c r="J43" i="1"/>
  <c r="J42" i="1"/>
  <c r="J41" i="1"/>
  <c r="J40" i="1"/>
  <c r="I43" i="1"/>
  <c r="I42" i="1"/>
  <c r="I41" i="1"/>
  <c r="I40" i="1"/>
  <c r="H43" i="1"/>
  <c r="H42" i="1"/>
  <c r="H41" i="1"/>
  <c r="H40" i="1"/>
  <c r="G43" i="1"/>
  <c r="G42" i="1"/>
  <c r="G41" i="1"/>
  <c r="G40" i="1"/>
  <c r="F43" i="1"/>
  <c r="F42" i="1"/>
  <c r="F41" i="1"/>
  <c r="F40" i="1"/>
  <c r="E43" i="1"/>
  <c r="E42" i="1"/>
  <c r="E40" i="1"/>
  <c r="E41" i="1"/>
  <c r="N35" i="1"/>
  <c r="G35" i="1"/>
  <c r="H35" i="1" s="1"/>
  <c r="I35" i="1" s="1"/>
  <c r="J35" i="1" s="1"/>
  <c r="K35" i="1" s="1"/>
  <c r="F35" i="1"/>
  <c r="K23" i="1" l="1"/>
  <c r="M23" i="1" s="1"/>
  <c r="N23" i="1" s="1"/>
  <c r="F23" i="1"/>
  <c r="G23" i="1" s="1"/>
  <c r="J21" i="1"/>
  <c r="L21" i="1" s="1"/>
  <c r="M21" i="1" s="1"/>
  <c r="N21" i="1" s="1"/>
  <c r="F22" i="1"/>
  <c r="G22" i="1" s="1"/>
  <c r="H22" i="1" s="1"/>
  <c r="I22" i="1" s="1"/>
  <c r="J22" i="1" s="1"/>
  <c r="K22" i="1" s="1"/>
  <c r="M22" i="1" s="1"/>
  <c r="N22" i="1" s="1"/>
  <c r="G24" i="1" l="1"/>
  <c r="H24" i="1" s="1"/>
  <c r="I24" i="1" s="1"/>
  <c r="N24" i="1" s="1"/>
  <c r="F33" i="1"/>
  <c r="G33" i="1" s="1"/>
  <c r="H33" i="1" s="1"/>
  <c r="I33" i="1" s="1"/>
  <c r="J33" i="1" s="1"/>
  <c r="K33" i="1" s="1"/>
  <c r="N33" i="1" s="1"/>
  <c r="F32" i="1"/>
  <c r="G32" i="1" s="1"/>
  <c r="H32" i="1" s="1"/>
  <c r="I32" i="1" s="1"/>
  <c r="J32" i="1" s="1"/>
  <c r="K32" i="1" s="1"/>
  <c r="M32" i="1" s="1"/>
  <c r="N32" i="1" s="1"/>
  <c r="F31" i="1"/>
  <c r="H31" i="1" s="1"/>
  <c r="J31" i="1" s="1"/>
  <c r="L31" i="1" s="1"/>
  <c r="F30" i="1"/>
  <c r="I30" i="1" s="1"/>
  <c r="M30" i="1" s="1"/>
  <c r="N30" i="1" s="1"/>
  <c r="G29" i="1"/>
  <c r="H29" i="1" s="1"/>
  <c r="J29" i="1" s="1"/>
  <c r="K29" i="1" s="1"/>
  <c r="L29" i="1" s="1"/>
  <c r="M29" i="1" s="1"/>
  <c r="N29" i="1" s="1"/>
  <c r="F28" i="1"/>
  <c r="G28" i="1" s="1"/>
  <c r="H28" i="1" s="1"/>
  <c r="J28" i="1" s="1"/>
  <c r="M28" i="1" s="1"/>
  <c r="N28" i="1" s="1"/>
  <c r="H6" i="1"/>
  <c r="I6" i="1" s="1"/>
  <c r="J6" i="1" s="1"/>
  <c r="K6" i="1" s="1"/>
  <c r="L6" i="1" s="1"/>
  <c r="M6" i="1" s="1"/>
  <c r="N6" i="1" s="1"/>
  <c r="F20" i="1"/>
  <c r="G20" i="1" s="1"/>
  <c r="H20" i="1" s="1"/>
  <c r="J20" i="1" s="1"/>
  <c r="K20" i="1" s="1"/>
  <c r="L20" i="1" s="1"/>
  <c r="M20" i="1" s="1"/>
  <c r="N20" i="1" s="1"/>
  <c r="F15" i="1"/>
  <c r="I15" i="1" s="1"/>
  <c r="J15" i="1" s="1"/>
  <c r="K15" i="1" s="1"/>
  <c r="L15" i="1" s="1"/>
  <c r="M15" i="1" s="1"/>
  <c r="N15" i="1" s="1"/>
  <c r="F16" i="1"/>
  <c r="G16" i="1" l="1"/>
  <c r="G5" i="1"/>
  <c r="H7" i="1"/>
  <c r="I7" i="1" s="1"/>
  <c r="J7" i="1" s="1"/>
  <c r="K7" i="1" s="1"/>
  <c r="L7" i="1" s="1"/>
  <c r="M7" i="1" s="1"/>
  <c r="N7" i="1" s="1"/>
  <c r="F18" i="1"/>
  <c r="G18" i="1" s="1"/>
  <c r="I18" i="1" s="1"/>
  <c r="J18" i="1" s="1"/>
  <c r="K18" i="1" s="1"/>
  <c r="L18" i="1" s="1"/>
  <c r="M18" i="1" s="1"/>
  <c r="N18" i="1" s="1"/>
  <c r="H5" i="1" l="1"/>
  <c r="G17" i="1"/>
  <c r="F10" i="1"/>
  <c r="F11" i="1"/>
  <c r="G11" i="1" s="1"/>
  <c r="G12" i="1"/>
  <c r="F14" i="1"/>
  <c r="F19" i="1"/>
  <c r="F38" i="1" l="1"/>
  <c r="H11" i="1"/>
  <c r="H38" i="1" s="1"/>
  <c r="I5" i="1"/>
  <c r="I16" i="1"/>
  <c r="G19" i="1"/>
  <c r="G14" i="1"/>
  <c r="G13" i="1"/>
  <c r="G38" i="1" s="1"/>
  <c r="H8" i="1"/>
  <c r="L12" i="1"/>
  <c r="M12" i="1" s="1"/>
  <c r="N12" i="1" s="1"/>
  <c r="J11" i="1"/>
  <c r="K11" i="1" s="1"/>
  <c r="L11" i="1" s="1"/>
  <c r="M11" i="1" s="1"/>
  <c r="N11" i="1" s="1"/>
  <c r="I9" i="1"/>
  <c r="J9" i="1" s="1"/>
  <c r="K9" i="1" s="1"/>
  <c r="L9" i="1" s="1"/>
  <c r="M9" i="1" s="1"/>
  <c r="N9" i="1" s="1"/>
  <c r="J5" i="1" l="1"/>
  <c r="J16" i="1"/>
  <c r="I17" i="1"/>
  <c r="I8" i="1"/>
  <c r="J8" i="1" s="1"/>
  <c r="K5" i="1" l="1"/>
  <c r="J17" i="1"/>
  <c r="K16" i="1"/>
  <c r="I10" i="1"/>
  <c r="I19" i="1"/>
  <c r="I14" i="1"/>
  <c r="K8" i="1"/>
  <c r="I38" i="1" l="1"/>
  <c r="L5" i="1"/>
  <c r="L16" i="1"/>
  <c r="K17" i="1"/>
  <c r="J10" i="1"/>
  <c r="J14" i="1"/>
  <c r="J19" i="1"/>
  <c r="L8" i="1"/>
  <c r="J38" i="1" l="1"/>
  <c r="M5" i="1"/>
  <c r="L17" i="1"/>
  <c r="M16" i="1"/>
  <c r="K10" i="1"/>
  <c r="K19" i="1"/>
  <c r="K14" i="1"/>
  <c r="M8" i="1"/>
  <c r="K38" i="1" l="1"/>
  <c r="N5" i="1"/>
  <c r="N16" i="1"/>
  <c r="M17" i="1"/>
  <c r="L10" i="1"/>
  <c r="L13" i="1"/>
  <c r="L14" i="1"/>
  <c r="L19" i="1"/>
  <c r="N8" i="1"/>
  <c r="L38" i="1" l="1"/>
  <c r="N17" i="1"/>
  <c r="M19" i="1"/>
  <c r="M14" i="1"/>
  <c r="M13" i="1"/>
  <c r="M10" i="1"/>
  <c r="M38" i="1" l="1"/>
  <c r="N10" i="1"/>
  <c r="N13" i="1"/>
  <c r="N14" i="1"/>
  <c r="N19" i="1"/>
  <c r="N38" i="1" l="1"/>
</calcChain>
</file>

<file path=xl/sharedStrings.xml><?xml version="1.0" encoding="utf-8"?>
<sst xmlns="http://schemas.openxmlformats.org/spreadsheetml/2006/main" count="105" uniqueCount="49">
  <si>
    <t>Team 1 - Sprint Backlog - Sprint #1 - 27/09/12 - 10/10/12</t>
  </si>
  <si>
    <t>Effort</t>
  </si>
  <si>
    <t>Responsible</t>
  </si>
  <si>
    <t>Status</t>
  </si>
  <si>
    <t>Research APIs and websites for accurate providers of stock market data</t>
  </si>
  <si>
    <t>To Do</t>
  </si>
  <si>
    <t>In Progress</t>
  </si>
  <si>
    <t>Completed</t>
  </si>
  <si>
    <t xml:space="preserve">Mutual Effort Remaining    </t>
  </si>
  <si>
    <t>Warren R</t>
  </si>
  <si>
    <t>Ross S</t>
  </si>
  <si>
    <t>Yolina K</t>
  </si>
  <si>
    <t xml:space="preserve">Yolina K. Effort Remaining    </t>
  </si>
  <si>
    <t xml:space="preserve">Warren R. Effort Remaining    </t>
  </si>
  <si>
    <t xml:space="preserve">Calum M. Effort Remaining    </t>
  </si>
  <si>
    <t xml:space="preserve">Ross S. Effort Remaining    </t>
  </si>
  <si>
    <t>Research a suitable data-structure to hold the stock market share data &amp; user share data</t>
  </si>
  <si>
    <t>Research how to download and store the data from the appropriate provider</t>
  </si>
  <si>
    <t>Design &amp; develop the code to fetch data from the proposed provider</t>
  </si>
  <si>
    <t>Design &amp; develop the proposed data structure</t>
  </si>
  <si>
    <t>Develop a mockup on the final product No1</t>
  </si>
  <si>
    <t>Develop a mockup on the final product No2</t>
  </si>
  <si>
    <t>Develop a mockup on the final product No3</t>
  </si>
  <si>
    <t>Develop a mockup on the final product ALERT No1</t>
  </si>
  <si>
    <t>Develop a mockup on the final product ALERT No2</t>
  </si>
  <si>
    <t>Discuss the mockups on the app design &amp; alerts amongst team</t>
  </si>
  <si>
    <t>Develop Sprint Backlog in posted notes of tasks</t>
  </si>
  <si>
    <t>Develop a Sprint Backlog Excel Table</t>
  </si>
  <si>
    <t>USER STORY</t>
  </si>
  <si>
    <t>Add more functionality to Excell Sprint Backlog Table</t>
  </si>
  <si>
    <t>TEAM WORK</t>
  </si>
  <si>
    <t xml:space="preserve">                                      Develop Feature: See total worth of shares</t>
  </si>
  <si>
    <t xml:space="preserve">                Find a suitable source and Develop prototype to download share data</t>
  </si>
  <si>
    <t>Stress test developed app prototype and structure</t>
  </si>
  <si>
    <t>Code storing information in the appropriate structure</t>
  </si>
  <si>
    <t>Code shares and number of shares in the company</t>
  </si>
  <si>
    <t>Code multiplication of share price by units per company</t>
  </si>
  <si>
    <t>Code suming up all multiplication results</t>
  </si>
  <si>
    <t>Discuss the results of the researches in the team</t>
  </si>
  <si>
    <t>Code presentation of data in sentence form</t>
  </si>
  <si>
    <t xml:space="preserve">Stress test the feature code </t>
  </si>
  <si>
    <t>Discuss the mockups on the app design with the customer</t>
  </si>
  <si>
    <t>Develop Parsing the fetched data</t>
  </si>
  <si>
    <t>Develop organising the data in data structure and displaying it</t>
  </si>
  <si>
    <t>Code fetching the current data from the source found</t>
  </si>
  <si>
    <t>Code fetching data for the previous Friday</t>
  </si>
  <si>
    <t>Calum M</t>
  </si>
  <si>
    <t>Develop fetching of data in real time from Yahoo API for the appropriate shares using the newly developed structure</t>
  </si>
  <si>
    <t xml:space="preserve">Mutual Effort Remaining (Planned)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</si>
</sst>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name val="Cambria"/>
      <family val="1"/>
      <charset val="204"/>
      <scheme val="maj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/>
    </xf>
    <xf numFmtId="0" fontId="1" fillId="0" borderId="0" xfId="0" applyFont="1" applyAlignment="1"/>
    <xf numFmtId="0" fontId="2" fillId="0" borderId="0" xfId="0" applyFont="1"/>
    <xf numFmtId="0" fontId="5" fillId="0" borderId="0" xfId="0" applyFont="1" applyAlignment="1">
      <alignment horizontal="right"/>
    </xf>
    <xf numFmtId="0" fontId="0" fillId="3" borderId="4" xfId="0" applyFill="1" applyBorder="1" applyAlignment="1">
      <alignment horizontal="center"/>
    </xf>
    <xf numFmtId="0" fontId="0" fillId="3" borderId="4" xfId="0" applyFill="1" applyBorder="1"/>
    <xf numFmtId="0" fontId="0" fillId="0" borderId="0" xfId="0" applyBorder="1"/>
    <xf numFmtId="0" fontId="3" fillId="2" borderId="5" xfId="0" applyFont="1" applyFill="1" applyBorder="1" applyAlignment="1">
      <alignment horizontal="center" vertical="center"/>
    </xf>
    <xf numFmtId="14" fontId="4" fillId="2" borderId="5" xfId="0" applyNumberFormat="1" applyFont="1" applyFill="1" applyBorder="1" applyAlignment="1">
      <alignment horizontal="center" vertical="center" textRotation="180"/>
    </xf>
    <xf numFmtId="0" fontId="0" fillId="2" borderId="3" xfId="0" applyFill="1" applyBorder="1"/>
    <xf numFmtId="0" fontId="0" fillId="2" borderId="2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3" borderId="0" xfId="0" applyFill="1" applyBorder="1"/>
    <xf numFmtId="0" fontId="0" fillId="2" borderId="4" xfId="0" applyFill="1" applyBorder="1"/>
    <xf numFmtId="0" fontId="3" fillId="2" borderId="7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4"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bg-B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Mutual Remaining Effort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Planned Effort</c:v>
          </c:tx>
          <c:marker>
            <c:symbol val="none"/>
          </c:marker>
          <c:val>
            <c:numRef>
              <c:f>Sheet1!$E$45:$N$45</c:f>
              <c:numCache>
                <c:formatCode>General</c:formatCode>
                <c:ptCount val="10"/>
                <c:pt idx="0">
                  <c:v>71</c:v>
                </c:pt>
                <c:pt idx="1">
                  <c:v>63</c:v>
                </c:pt>
                <c:pt idx="2">
                  <c:v>55</c:v>
                </c:pt>
                <c:pt idx="3">
                  <c:v>47</c:v>
                </c:pt>
                <c:pt idx="4">
                  <c:v>39</c:v>
                </c:pt>
                <c:pt idx="5">
                  <c:v>31</c:v>
                </c:pt>
                <c:pt idx="6">
                  <c:v>23</c:v>
                </c:pt>
                <c:pt idx="7">
                  <c:v>15</c:v>
                </c:pt>
                <c:pt idx="8">
                  <c:v>7</c:v>
                </c:pt>
                <c:pt idx="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Actual Effort</c:v>
          </c:tx>
          <c:marker>
            <c:symbol val="none"/>
          </c:marker>
          <c:cat>
            <c:numRef>
              <c:f>Sheet1!$E$3:$N$3</c:f>
              <c:numCache>
                <c:formatCode>m/d/yyyy</c:formatCode>
                <c:ptCount val="10"/>
                <c:pt idx="0">
                  <c:v>41179</c:v>
                </c:pt>
                <c:pt idx="1">
                  <c:v>41180</c:v>
                </c:pt>
                <c:pt idx="2">
                  <c:v>41183</c:v>
                </c:pt>
                <c:pt idx="3">
                  <c:v>41184</c:v>
                </c:pt>
                <c:pt idx="4">
                  <c:v>41185</c:v>
                </c:pt>
                <c:pt idx="5">
                  <c:v>41186</c:v>
                </c:pt>
                <c:pt idx="6">
                  <c:v>41187</c:v>
                </c:pt>
                <c:pt idx="7">
                  <c:v>41190</c:v>
                </c:pt>
                <c:pt idx="8">
                  <c:v>41191</c:v>
                </c:pt>
                <c:pt idx="9">
                  <c:v>41192</c:v>
                </c:pt>
              </c:numCache>
            </c:numRef>
          </c:cat>
          <c:val>
            <c:numRef>
              <c:f>Sheet1!$E$38:$N$38</c:f>
              <c:numCache>
                <c:formatCode>General</c:formatCode>
                <c:ptCount val="10"/>
                <c:pt idx="0">
                  <c:v>82</c:v>
                </c:pt>
                <c:pt idx="1">
                  <c:v>73</c:v>
                </c:pt>
                <c:pt idx="2">
                  <c:v>66</c:v>
                </c:pt>
                <c:pt idx="3">
                  <c:v>50</c:v>
                </c:pt>
                <c:pt idx="4">
                  <c:v>44</c:v>
                </c:pt>
                <c:pt idx="5">
                  <c:v>38</c:v>
                </c:pt>
                <c:pt idx="6">
                  <c:v>26</c:v>
                </c:pt>
                <c:pt idx="7">
                  <c:v>12</c:v>
                </c:pt>
                <c:pt idx="8">
                  <c:v>7</c:v>
                </c:pt>
                <c:pt idx="9">
                  <c:v>6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66528"/>
        <c:axId val="40168064"/>
      </c:lineChart>
      <c:catAx>
        <c:axId val="401665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40168064"/>
        <c:crosses val="autoZero"/>
        <c:auto val="1"/>
        <c:lblAlgn val="ctr"/>
        <c:lblOffset val="100"/>
        <c:noMultiLvlLbl val="0"/>
      </c:catAx>
      <c:valAx>
        <c:axId val="40168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Mutual Effort Remaining (hours)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0166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bg-B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baseline="0"/>
              <a:t>Members' Remaining Effort</a:t>
            </a:r>
            <a:endParaRPr lang="en-GB"/>
          </a:p>
        </c:rich>
      </c:tx>
      <c:layout>
        <c:manualLayout>
          <c:xMode val="edge"/>
          <c:yMode val="edge"/>
          <c:x val="0.30768432355046527"/>
          <c:y val="2.314824739088920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Yolina Kostova</c:v>
          </c:tx>
          <c:marker>
            <c:symbol val="none"/>
          </c:marker>
          <c:cat>
            <c:numRef>
              <c:f>Sheet1!$E$3:$N$3</c:f>
              <c:numCache>
                <c:formatCode>m/d/yyyy</c:formatCode>
                <c:ptCount val="10"/>
                <c:pt idx="0">
                  <c:v>41179</c:v>
                </c:pt>
                <c:pt idx="1">
                  <c:v>41180</c:v>
                </c:pt>
                <c:pt idx="2">
                  <c:v>41183</c:v>
                </c:pt>
                <c:pt idx="3">
                  <c:v>41184</c:v>
                </c:pt>
                <c:pt idx="4">
                  <c:v>41185</c:v>
                </c:pt>
                <c:pt idx="5">
                  <c:v>41186</c:v>
                </c:pt>
                <c:pt idx="6">
                  <c:v>41187</c:v>
                </c:pt>
                <c:pt idx="7">
                  <c:v>41190</c:v>
                </c:pt>
                <c:pt idx="8">
                  <c:v>41191</c:v>
                </c:pt>
                <c:pt idx="9">
                  <c:v>41192</c:v>
                </c:pt>
              </c:numCache>
            </c:numRef>
          </c:cat>
          <c:val>
            <c:numRef>
              <c:f>Sheet1!$E$40:$N$40</c:f>
              <c:numCache>
                <c:formatCode>General</c:formatCode>
                <c:ptCount val="10"/>
                <c:pt idx="0">
                  <c:v>23</c:v>
                </c:pt>
                <c:pt idx="1">
                  <c:v>21</c:v>
                </c:pt>
                <c:pt idx="2">
                  <c:v>20</c:v>
                </c:pt>
                <c:pt idx="3">
                  <c:v>18</c:v>
                </c:pt>
                <c:pt idx="4">
                  <c:v>18</c:v>
                </c:pt>
                <c:pt idx="5">
                  <c:v>17</c:v>
                </c:pt>
                <c:pt idx="6">
                  <c:v>11</c:v>
                </c:pt>
                <c:pt idx="7">
                  <c:v>9</c:v>
                </c:pt>
                <c:pt idx="8">
                  <c:v>7</c:v>
                </c:pt>
                <c:pt idx="9">
                  <c:v>6</c:v>
                </c:pt>
              </c:numCache>
            </c:numRef>
          </c:val>
          <c:smooth val="0"/>
        </c:ser>
        <c:ser>
          <c:idx val="3"/>
          <c:order val="1"/>
          <c:tx>
            <c:v>Warren Ryndycz</c:v>
          </c:tx>
          <c:marker>
            <c:symbol val="none"/>
          </c:marker>
          <c:cat>
            <c:numRef>
              <c:f>Sheet1!$E$3:$N$3</c:f>
              <c:numCache>
                <c:formatCode>m/d/yyyy</c:formatCode>
                <c:ptCount val="10"/>
                <c:pt idx="0">
                  <c:v>41179</c:v>
                </c:pt>
                <c:pt idx="1">
                  <c:v>41180</c:v>
                </c:pt>
                <c:pt idx="2">
                  <c:v>41183</c:v>
                </c:pt>
                <c:pt idx="3">
                  <c:v>41184</c:v>
                </c:pt>
                <c:pt idx="4">
                  <c:v>41185</c:v>
                </c:pt>
                <c:pt idx="5">
                  <c:v>41186</c:v>
                </c:pt>
                <c:pt idx="6">
                  <c:v>41187</c:v>
                </c:pt>
                <c:pt idx="7">
                  <c:v>41190</c:v>
                </c:pt>
                <c:pt idx="8">
                  <c:v>41191</c:v>
                </c:pt>
                <c:pt idx="9">
                  <c:v>41192</c:v>
                </c:pt>
              </c:numCache>
            </c:numRef>
          </c:cat>
          <c:val>
            <c:numRef>
              <c:f>Sheet1!$E$41:$N$41</c:f>
              <c:numCache>
                <c:formatCode>General</c:formatCode>
                <c:ptCount val="10"/>
                <c:pt idx="0">
                  <c:v>23</c:v>
                </c:pt>
                <c:pt idx="1">
                  <c:v>22</c:v>
                </c:pt>
                <c:pt idx="2">
                  <c:v>20</c:v>
                </c:pt>
                <c:pt idx="3">
                  <c:v>12</c:v>
                </c:pt>
                <c:pt idx="4">
                  <c:v>11</c:v>
                </c:pt>
                <c:pt idx="5">
                  <c:v>8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v>Calum Murray</c:v>
          </c:tx>
          <c:marker>
            <c:symbol val="none"/>
          </c:marker>
          <c:cat>
            <c:numRef>
              <c:f>Sheet1!$E$3:$N$3</c:f>
              <c:numCache>
                <c:formatCode>m/d/yyyy</c:formatCode>
                <c:ptCount val="10"/>
                <c:pt idx="0">
                  <c:v>41179</c:v>
                </c:pt>
                <c:pt idx="1">
                  <c:v>41180</c:v>
                </c:pt>
                <c:pt idx="2">
                  <c:v>41183</c:v>
                </c:pt>
                <c:pt idx="3">
                  <c:v>41184</c:v>
                </c:pt>
                <c:pt idx="4">
                  <c:v>41185</c:v>
                </c:pt>
                <c:pt idx="5">
                  <c:v>41186</c:v>
                </c:pt>
                <c:pt idx="6">
                  <c:v>41187</c:v>
                </c:pt>
                <c:pt idx="7">
                  <c:v>41190</c:v>
                </c:pt>
                <c:pt idx="8">
                  <c:v>41191</c:v>
                </c:pt>
                <c:pt idx="9">
                  <c:v>41192</c:v>
                </c:pt>
              </c:numCache>
            </c:numRef>
          </c:cat>
          <c:val>
            <c:numRef>
              <c:f>Sheet1!$E$42:$N$42</c:f>
              <c:numCache>
                <c:formatCode>General</c:formatCode>
                <c:ptCount val="10"/>
                <c:pt idx="0">
                  <c:v>20</c:v>
                </c:pt>
                <c:pt idx="1">
                  <c:v>17</c:v>
                </c:pt>
                <c:pt idx="2">
                  <c:v>14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5"/>
          <c:order val="3"/>
          <c:tx>
            <c:v>Ross Strachan</c:v>
          </c:tx>
          <c:marker>
            <c:symbol val="none"/>
          </c:marker>
          <c:cat>
            <c:numRef>
              <c:f>Sheet1!$E$3:$N$3</c:f>
              <c:numCache>
                <c:formatCode>m/d/yyyy</c:formatCode>
                <c:ptCount val="10"/>
                <c:pt idx="0">
                  <c:v>41179</c:v>
                </c:pt>
                <c:pt idx="1">
                  <c:v>41180</c:v>
                </c:pt>
                <c:pt idx="2">
                  <c:v>41183</c:v>
                </c:pt>
                <c:pt idx="3">
                  <c:v>41184</c:v>
                </c:pt>
                <c:pt idx="4">
                  <c:v>41185</c:v>
                </c:pt>
                <c:pt idx="5">
                  <c:v>41186</c:v>
                </c:pt>
                <c:pt idx="6">
                  <c:v>41187</c:v>
                </c:pt>
                <c:pt idx="7">
                  <c:v>41190</c:v>
                </c:pt>
                <c:pt idx="8">
                  <c:v>41191</c:v>
                </c:pt>
                <c:pt idx="9">
                  <c:v>41192</c:v>
                </c:pt>
              </c:numCache>
            </c:numRef>
          </c:cat>
          <c:val>
            <c:numRef>
              <c:f>Sheet1!$E$43:$N$43</c:f>
              <c:numCache>
                <c:formatCode>General</c:formatCode>
                <c:ptCount val="10"/>
                <c:pt idx="0">
                  <c:v>16</c:v>
                </c:pt>
                <c:pt idx="1">
                  <c:v>13</c:v>
                </c:pt>
                <c:pt idx="2">
                  <c:v>12</c:v>
                </c:pt>
                <c:pt idx="3">
                  <c:v>9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08416"/>
        <c:axId val="74909952"/>
      </c:lineChart>
      <c:dateAx>
        <c:axId val="749084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74909952"/>
        <c:crosses val="autoZero"/>
        <c:auto val="1"/>
        <c:lblOffset val="100"/>
        <c:baseTimeUnit val="days"/>
      </c:dateAx>
      <c:valAx>
        <c:axId val="74909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b="1"/>
                  <a:t>Member Effort Remaining (hours)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490841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628649</xdr:colOff>
      <xdr:row>48</xdr:row>
      <xdr:rowOff>33336</xdr:rowOff>
    </xdr:from>
    <xdr:to>
      <xdr:col>0</xdr:col>
      <xdr:colOff>6677024</xdr:colOff>
      <xdr:row>67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48</xdr:row>
      <xdr:rowOff>23811</xdr:rowOff>
    </xdr:from>
    <xdr:to>
      <xdr:col>15</xdr:col>
      <xdr:colOff>161925</xdr:colOff>
      <xdr:row>67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5"/>
  <sheetViews>
    <sheetView tabSelected="1" topLeftCell="A41" zoomScaleNormal="100" zoomScalePageLayoutView="110" workbookViewId="0">
      <selection activeCell="A47" sqref="A47"/>
    </sheetView>
  </sheetViews>
  <sheetFormatPr defaultColWidth="11" defaultRowHeight="15.75" x14ac:dyDescent="0.25"/>
  <cols>
    <col min="1" max="1" width="96.875" customWidth="1"/>
    <col min="3" max="3" width="15.875" style="5" customWidth="1"/>
    <col min="5" max="17" width="4.5" customWidth="1"/>
    <col min="18" max="18" width="12.125" customWidth="1"/>
  </cols>
  <sheetData>
    <row r="1" spans="1:19" ht="21" x14ac:dyDescent="0.35">
      <c r="A1" s="2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7"/>
      <c r="P1" s="7"/>
      <c r="Q1" s="7"/>
      <c r="R1" s="7"/>
    </row>
    <row r="3" spans="1:19" ht="73.5" customHeight="1" x14ac:dyDescent="0.25">
      <c r="A3" s="13" t="s">
        <v>28</v>
      </c>
      <c r="B3" s="13" t="s">
        <v>1</v>
      </c>
      <c r="C3" s="13" t="s">
        <v>2</v>
      </c>
      <c r="D3" s="13" t="s">
        <v>3</v>
      </c>
      <c r="E3" s="14">
        <v>41179</v>
      </c>
      <c r="F3" s="14">
        <v>41180</v>
      </c>
      <c r="G3" s="14">
        <v>41183</v>
      </c>
      <c r="H3" s="14">
        <v>41184</v>
      </c>
      <c r="I3" s="14">
        <v>41185</v>
      </c>
      <c r="J3" s="14">
        <v>41186</v>
      </c>
      <c r="K3" s="14">
        <v>41187</v>
      </c>
      <c r="L3" s="14">
        <v>41190</v>
      </c>
      <c r="M3" s="14">
        <v>41191</v>
      </c>
      <c r="N3" s="14">
        <v>41192</v>
      </c>
    </row>
    <row r="4" spans="1:19" ht="36.75" customHeight="1" x14ac:dyDescent="0.25">
      <c r="A4" s="21" t="s">
        <v>32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2"/>
    </row>
    <row r="5" spans="1:19" x14ac:dyDescent="0.25">
      <c r="A5" s="2" t="s">
        <v>26</v>
      </c>
      <c r="B5" s="4">
        <v>2</v>
      </c>
      <c r="C5" s="4" t="s">
        <v>10</v>
      </c>
      <c r="D5" s="4" t="s">
        <v>7</v>
      </c>
      <c r="E5" s="4">
        <v>2</v>
      </c>
      <c r="F5" s="4">
        <v>0</v>
      </c>
      <c r="G5" s="4">
        <f t="shared" ref="G5" si="0">F5</f>
        <v>0</v>
      </c>
      <c r="H5" s="4">
        <f t="shared" ref="H5:H6" si="1">G5</f>
        <v>0</v>
      </c>
      <c r="I5" s="4">
        <f t="shared" ref="I5:I6" si="2">H5</f>
        <v>0</v>
      </c>
      <c r="J5" s="4">
        <f t="shared" ref="J5:J6" si="3">I5</f>
        <v>0</v>
      </c>
      <c r="K5" s="4">
        <f t="shared" ref="K5:K6" si="4">J5</f>
        <v>0</v>
      </c>
      <c r="L5" s="4">
        <f t="shared" ref="L5:L6" si="5">K5</f>
        <v>0</v>
      </c>
      <c r="M5" s="4">
        <f t="shared" ref="M5:M6" si="6">L5</f>
        <v>0</v>
      </c>
      <c r="N5" s="4">
        <f t="shared" ref="N5:N6" si="7">M5</f>
        <v>0</v>
      </c>
    </row>
    <row r="6" spans="1:19" x14ac:dyDescent="0.25">
      <c r="A6" s="1" t="s">
        <v>27</v>
      </c>
      <c r="B6" s="3">
        <v>2</v>
      </c>
      <c r="C6" s="3" t="s">
        <v>10</v>
      </c>
      <c r="D6" s="3" t="s">
        <v>7</v>
      </c>
      <c r="E6" s="3">
        <v>2</v>
      </c>
      <c r="F6" s="3">
        <v>1</v>
      </c>
      <c r="G6" s="3">
        <v>0</v>
      </c>
      <c r="H6" s="3">
        <f t="shared" si="1"/>
        <v>0</v>
      </c>
      <c r="I6" s="3">
        <f t="shared" si="2"/>
        <v>0</v>
      </c>
      <c r="J6" s="3">
        <f t="shared" si="3"/>
        <v>0</v>
      </c>
      <c r="K6" s="3">
        <f t="shared" si="4"/>
        <v>0</v>
      </c>
      <c r="L6" s="3">
        <f t="shared" si="5"/>
        <v>0</v>
      </c>
      <c r="M6" s="3">
        <f t="shared" si="6"/>
        <v>0</v>
      </c>
      <c r="N6" s="3">
        <f t="shared" si="7"/>
        <v>0</v>
      </c>
    </row>
    <row r="7" spans="1:19" x14ac:dyDescent="0.25">
      <c r="A7" s="2" t="s">
        <v>29</v>
      </c>
      <c r="B7" s="4">
        <v>3</v>
      </c>
      <c r="C7" s="4" t="s">
        <v>11</v>
      </c>
      <c r="D7" s="4" t="s">
        <v>7</v>
      </c>
      <c r="E7" s="4">
        <v>2</v>
      </c>
      <c r="F7" s="4">
        <v>1</v>
      </c>
      <c r="G7" s="4">
        <v>0</v>
      </c>
      <c r="H7" s="4">
        <f t="shared" ref="H7" si="8">G7</f>
        <v>0</v>
      </c>
      <c r="I7" s="4">
        <f t="shared" ref="I7:I19" si="9">H7</f>
        <v>0</v>
      </c>
      <c r="J7" s="4">
        <f t="shared" ref="J7" si="10">I7</f>
        <v>0</v>
      </c>
      <c r="K7" s="4">
        <f t="shared" ref="K7" si="11">J7</f>
        <v>0</v>
      </c>
      <c r="L7" s="4">
        <f t="shared" ref="L7" si="12">K7</f>
        <v>0</v>
      </c>
      <c r="M7" s="4">
        <f t="shared" ref="M7" si="13">L7</f>
        <v>0</v>
      </c>
      <c r="N7" s="4">
        <f t="shared" ref="N7" si="14">M7</f>
        <v>0</v>
      </c>
    </row>
    <row r="8" spans="1:19" x14ac:dyDescent="0.25">
      <c r="A8" s="1" t="s">
        <v>4</v>
      </c>
      <c r="B8" s="3">
        <v>2</v>
      </c>
      <c r="C8" s="3" t="s">
        <v>46</v>
      </c>
      <c r="D8" s="3" t="s">
        <v>7</v>
      </c>
      <c r="E8" s="3">
        <v>2</v>
      </c>
      <c r="F8" s="3">
        <v>1</v>
      </c>
      <c r="G8" s="3">
        <v>0</v>
      </c>
      <c r="H8" s="3">
        <f t="shared" ref="H8:N8" si="15">G8</f>
        <v>0</v>
      </c>
      <c r="I8" s="3">
        <f t="shared" si="9"/>
        <v>0</v>
      </c>
      <c r="J8" s="3">
        <f t="shared" si="15"/>
        <v>0</v>
      </c>
      <c r="K8" s="3">
        <f t="shared" si="15"/>
        <v>0</v>
      </c>
      <c r="L8" s="3">
        <f t="shared" si="15"/>
        <v>0</v>
      </c>
      <c r="M8" s="3">
        <f t="shared" si="15"/>
        <v>0</v>
      </c>
      <c r="N8" s="3">
        <f t="shared" si="15"/>
        <v>0</v>
      </c>
      <c r="R8" t="s">
        <v>11</v>
      </c>
      <c r="S8" t="s">
        <v>5</v>
      </c>
    </row>
    <row r="9" spans="1:19" x14ac:dyDescent="0.25">
      <c r="A9" s="2" t="s">
        <v>17</v>
      </c>
      <c r="B9" s="4">
        <v>3</v>
      </c>
      <c r="C9" s="4" t="s">
        <v>9</v>
      </c>
      <c r="D9" s="4" t="s">
        <v>7</v>
      </c>
      <c r="E9" s="4">
        <v>3</v>
      </c>
      <c r="F9" s="4">
        <v>3</v>
      </c>
      <c r="G9" s="4">
        <v>2</v>
      </c>
      <c r="H9" s="4">
        <v>0</v>
      </c>
      <c r="I9" s="4">
        <f t="shared" si="9"/>
        <v>0</v>
      </c>
      <c r="J9" s="4">
        <f t="shared" ref="J9:N9" si="16">I9</f>
        <v>0</v>
      </c>
      <c r="K9" s="4">
        <f t="shared" si="16"/>
        <v>0</v>
      </c>
      <c r="L9" s="4">
        <f t="shared" si="16"/>
        <v>0</v>
      </c>
      <c r="M9" s="4">
        <f t="shared" si="16"/>
        <v>0</v>
      </c>
      <c r="N9" s="4">
        <f t="shared" si="16"/>
        <v>0</v>
      </c>
      <c r="R9" t="s">
        <v>9</v>
      </c>
      <c r="S9" t="s">
        <v>6</v>
      </c>
    </row>
    <row r="10" spans="1:19" x14ac:dyDescent="0.25">
      <c r="A10" s="1" t="s">
        <v>16</v>
      </c>
      <c r="B10" s="3">
        <v>2</v>
      </c>
      <c r="C10" s="3" t="s">
        <v>46</v>
      </c>
      <c r="D10" s="3" t="s">
        <v>7</v>
      </c>
      <c r="E10" s="3">
        <v>2</v>
      </c>
      <c r="F10" s="3">
        <f t="shared" ref="F10:N20" si="17">E10</f>
        <v>2</v>
      </c>
      <c r="G10" s="3">
        <v>1</v>
      </c>
      <c r="H10" s="3">
        <v>0</v>
      </c>
      <c r="I10" s="3">
        <f t="shared" si="9"/>
        <v>0</v>
      </c>
      <c r="J10" s="3">
        <f t="shared" si="17"/>
        <v>0</v>
      </c>
      <c r="K10" s="3">
        <f t="shared" si="17"/>
        <v>0</v>
      </c>
      <c r="L10" s="3">
        <f t="shared" si="17"/>
        <v>0</v>
      </c>
      <c r="M10" s="3">
        <f t="shared" si="17"/>
        <v>0</v>
      </c>
      <c r="N10" s="3">
        <f t="shared" si="17"/>
        <v>0</v>
      </c>
      <c r="R10" t="s">
        <v>46</v>
      </c>
      <c r="S10" t="s">
        <v>7</v>
      </c>
    </row>
    <row r="11" spans="1:19" x14ac:dyDescent="0.25">
      <c r="A11" s="2" t="s">
        <v>38</v>
      </c>
      <c r="B11" s="4">
        <v>1</v>
      </c>
      <c r="C11" s="4" t="s">
        <v>46</v>
      </c>
      <c r="D11" s="4" t="s">
        <v>7</v>
      </c>
      <c r="E11" s="4">
        <v>1</v>
      </c>
      <c r="F11" s="4">
        <f t="shared" si="17"/>
        <v>1</v>
      </c>
      <c r="G11" s="4">
        <f t="shared" si="17"/>
        <v>1</v>
      </c>
      <c r="H11" s="4">
        <f t="shared" si="17"/>
        <v>1</v>
      </c>
      <c r="I11" s="4">
        <v>0</v>
      </c>
      <c r="J11" s="4">
        <f t="shared" si="17"/>
        <v>0</v>
      </c>
      <c r="K11" s="4">
        <f t="shared" si="17"/>
        <v>0</v>
      </c>
      <c r="L11" s="4">
        <f t="shared" si="17"/>
        <v>0</v>
      </c>
      <c r="M11" s="4">
        <f t="shared" si="17"/>
        <v>0</v>
      </c>
      <c r="N11" s="4">
        <f t="shared" si="17"/>
        <v>0</v>
      </c>
      <c r="R11" t="s">
        <v>10</v>
      </c>
    </row>
    <row r="12" spans="1:19" x14ac:dyDescent="0.25">
      <c r="A12" s="1" t="s">
        <v>19</v>
      </c>
      <c r="B12" s="3">
        <v>5</v>
      </c>
      <c r="C12" s="3" t="s">
        <v>11</v>
      </c>
      <c r="D12" s="3" t="s">
        <v>7</v>
      </c>
      <c r="E12" s="3">
        <v>6</v>
      </c>
      <c r="F12" s="3">
        <v>5</v>
      </c>
      <c r="G12" s="3">
        <f t="shared" si="17"/>
        <v>5</v>
      </c>
      <c r="H12" s="3">
        <v>4</v>
      </c>
      <c r="I12" s="3">
        <v>3</v>
      </c>
      <c r="J12" s="3">
        <v>2</v>
      </c>
      <c r="K12" s="3">
        <v>0</v>
      </c>
      <c r="L12" s="3">
        <f t="shared" si="17"/>
        <v>0</v>
      </c>
      <c r="M12" s="3">
        <f t="shared" si="17"/>
        <v>0</v>
      </c>
      <c r="N12" s="3">
        <f t="shared" si="17"/>
        <v>0</v>
      </c>
      <c r="R12" t="s">
        <v>30</v>
      </c>
    </row>
    <row r="13" spans="1:19" x14ac:dyDescent="0.25">
      <c r="A13" s="2" t="s">
        <v>18</v>
      </c>
      <c r="B13" s="4">
        <v>5</v>
      </c>
      <c r="C13" s="4" t="s">
        <v>9</v>
      </c>
      <c r="D13" s="4" t="s">
        <v>7</v>
      </c>
      <c r="E13" s="4">
        <v>7</v>
      </c>
      <c r="F13" s="4">
        <v>5</v>
      </c>
      <c r="G13" s="4">
        <f t="shared" si="17"/>
        <v>5</v>
      </c>
      <c r="H13" s="4">
        <v>3</v>
      </c>
      <c r="I13" s="4">
        <v>2</v>
      </c>
      <c r="J13" s="4">
        <v>1</v>
      </c>
      <c r="K13" s="4">
        <v>0</v>
      </c>
      <c r="L13" s="4">
        <f t="shared" si="17"/>
        <v>0</v>
      </c>
      <c r="M13" s="4">
        <f t="shared" si="17"/>
        <v>0</v>
      </c>
      <c r="N13" s="4">
        <f t="shared" si="17"/>
        <v>0</v>
      </c>
    </row>
    <row r="14" spans="1:19" x14ac:dyDescent="0.25">
      <c r="A14" s="1" t="s">
        <v>20</v>
      </c>
      <c r="B14" s="3">
        <v>1</v>
      </c>
      <c r="C14" s="3" t="s">
        <v>46</v>
      </c>
      <c r="D14" s="3" t="s">
        <v>7</v>
      </c>
      <c r="E14" s="3">
        <v>1</v>
      </c>
      <c r="F14" s="3">
        <f t="shared" si="17"/>
        <v>1</v>
      </c>
      <c r="G14" s="3">
        <f t="shared" si="17"/>
        <v>1</v>
      </c>
      <c r="H14" s="3">
        <v>0</v>
      </c>
      <c r="I14" s="3">
        <f t="shared" si="9"/>
        <v>0</v>
      </c>
      <c r="J14" s="3">
        <f t="shared" si="17"/>
        <v>0</v>
      </c>
      <c r="K14" s="3">
        <f t="shared" si="17"/>
        <v>0</v>
      </c>
      <c r="L14" s="3">
        <f t="shared" si="17"/>
        <v>0</v>
      </c>
      <c r="M14" s="3">
        <f t="shared" si="17"/>
        <v>0</v>
      </c>
      <c r="N14" s="3">
        <f t="shared" si="17"/>
        <v>0</v>
      </c>
    </row>
    <row r="15" spans="1:19" x14ac:dyDescent="0.25">
      <c r="A15" s="2" t="s">
        <v>21</v>
      </c>
      <c r="B15" s="4">
        <v>1</v>
      </c>
      <c r="C15" s="4" t="s">
        <v>11</v>
      </c>
      <c r="D15" s="4" t="s">
        <v>7</v>
      </c>
      <c r="E15" s="4">
        <v>2</v>
      </c>
      <c r="F15" s="4">
        <f t="shared" si="17"/>
        <v>2</v>
      </c>
      <c r="G15" s="4">
        <v>1</v>
      </c>
      <c r="H15" s="4">
        <v>0</v>
      </c>
      <c r="I15" s="4">
        <f t="shared" ref="I15" si="18">H15</f>
        <v>0</v>
      </c>
      <c r="J15" s="4">
        <f t="shared" si="17"/>
        <v>0</v>
      </c>
      <c r="K15" s="4">
        <f t="shared" si="17"/>
        <v>0</v>
      </c>
      <c r="L15" s="4">
        <f t="shared" si="17"/>
        <v>0</v>
      </c>
      <c r="M15" s="4">
        <f t="shared" si="17"/>
        <v>0</v>
      </c>
      <c r="N15" s="4">
        <f t="shared" si="17"/>
        <v>0</v>
      </c>
    </row>
    <row r="16" spans="1:19" x14ac:dyDescent="0.25">
      <c r="A16" s="1" t="s">
        <v>22</v>
      </c>
      <c r="B16" s="3">
        <v>1</v>
      </c>
      <c r="C16" s="3" t="s">
        <v>9</v>
      </c>
      <c r="D16" s="3" t="s">
        <v>7</v>
      </c>
      <c r="E16" s="3">
        <v>1</v>
      </c>
      <c r="F16" s="3">
        <f t="shared" ref="F16" si="19">E16</f>
        <v>1</v>
      </c>
      <c r="G16" s="3">
        <f t="shared" ref="G16" si="20">F16</f>
        <v>1</v>
      </c>
      <c r="H16" s="3">
        <v>0</v>
      </c>
      <c r="I16" s="3">
        <f t="shared" ref="I16" si="21">H16</f>
        <v>0</v>
      </c>
      <c r="J16" s="3">
        <f t="shared" ref="J16" si="22">I16</f>
        <v>0</v>
      </c>
      <c r="K16" s="3">
        <f t="shared" ref="K16" si="23">J16</f>
        <v>0</v>
      </c>
      <c r="L16" s="3">
        <f t="shared" ref="L16" si="24">K16</f>
        <v>0</v>
      </c>
      <c r="M16" s="3">
        <f t="shared" ref="M16" si="25">L16</f>
        <v>0</v>
      </c>
      <c r="N16" s="3">
        <f t="shared" ref="N16" si="26">M16</f>
        <v>0</v>
      </c>
    </row>
    <row r="17" spans="1:14" x14ac:dyDescent="0.25">
      <c r="A17" s="11" t="s">
        <v>23</v>
      </c>
      <c r="B17" s="10">
        <v>1</v>
      </c>
      <c r="C17" s="4" t="s">
        <v>10</v>
      </c>
      <c r="D17" s="4" t="s">
        <v>7</v>
      </c>
      <c r="E17" s="4">
        <v>2</v>
      </c>
      <c r="F17" s="4">
        <v>1</v>
      </c>
      <c r="G17" s="4">
        <f t="shared" ref="G17:G18" si="27">F17</f>
        <v>1</v>
      </c>
      <c r="H17" s="4">
        <v>0</v>
      </c>
      <c r="I17" s="4">
        <f t="shared" si="9"/>
        <v>0</v>
      </c>
      <c r="J17" s="4">
        <f t="shared" ref="J17:J18" si="28">I17</f>
        <v>0</v>
      </c>
      <c r="K17" s="4">
        <f t="shared" ref="K17:K18" si="29">J17</f>
        <v>0</v>
      </c>
      <c r="L17" s="4">
        <f t="shared" ref="L17:L18" si="30">K17</f>
        <v>0</v>
      </c>
      <c r="M17" s="4">
        <f t="shared" ref="M17:M18" si="31">L17</f>
        <v>0</v>
      </c>
      <c r="N17" s="4">
        <f t="shared" ref="N17:N18" si="32">M17</f>
        <v>0</v>
      </c>
    </row>
    <row r="18" spans="1:14" x14ac:dyDescent="0.25">
      <c r="A18" s="1" t="s">
        <v>24</v>
      </c>
      <c r="B18" s="3">
        <v>1</v>
      </c>
      <c r="C18" s="3" t="s">
        <v>46</v>
      </c>
      <c r="D18" s="3" t="s">
        <v>7</v>
      </c>
      <c r="E18" s="3">
        <v>1</v>
      </c>
      <c r="F18" s="3">
        <f t="shared" ref="F18" si="33">E18</f>
        <v>1</v>
      </c>
      <c r="G18" s="3">
        <f t="shared" si="27"/>
        <v>1</v>
      </c>
      <c r="H18" s="3">
        <v>0</v>
      </c>
      <c r="I18" s="3">
        <f t="shared" si="9"/>
        <v>0</v>
      </c>
      <c r="J18" s="3">
        <f t="shared" si="28"/>
        <v>0</v>
      </c>
      <c r="K18" s="3">
        <f t="shared" si="29"/>
        <v>0</v>
      </c>
      <c r="L18" s="3">
        <f t="shared" si="30"/>
        <v>0</v>
      </c>
      <c r="M18" s="3">
        <f t="shared" si="31"/>
        <v>0</v>
      </c>
      <c r="N18" s="3">
        <f t="shared" si="32"/>
        <v>0</v>
      </c>
    </row>
    <row r="19" spans="1:14" s="12" customFormat="1" x14ac:dyDescent="0.25">
      <c r="A19" s="11" t="s">
        <v>25</v>
      </c>
      <c r="B19" s="4">
        <v>1</v>
      </c>
      <c r="C19" s="4" t="s">
        <v>9</v>
      </c>
      <c r="D19" s="4" t="s">
        <v>7</v>
      </c>
      <c r="E19" s="10">
        <v>2</v>
      </c>
      <c r="F19" s="4">
        <f t="shared" si="17"/>
        <v>2</v>
      </c>
      <c r="G19" s="4">
        <f t="shared" si="17"/>
        <v>2</v>
      </c>
      <c r="H19" s="4">
        <v>0</v>
      </c>
      <c r="I19" s="4">
        <f t="shared" si="9"/>
        <v>0</v>
      </c>
      <c r="J19" s="4">
        <f t="shared" si="17"/>
        <v>0</v>
      </c>
      <c r="K19" s="4">
        <f t="shared" si="17"/>
        <v>0</v>
      </c>
      <c r="L19" s="4">
        <f t="shared" si="17"/>
        <v>0</v>
      </c>
      <c r="M19" s="4">
        <f t="shared" si="17"/>
        <v>0</v>
      </c>
      <c r="N19" s="4">
        <f t="shared" si="17"/>
        <v>0</v>
      </c>
    </row>
    <row r="20" spans="1:14" x14ac:dyDescent="0.25">
      <c r="A20" s="1" t="s">
        <v>41</v>
      </c>
      <c r="B20" s="3">
        <v>1</v>
      </c>
      <c r="C20" s="3" t="s">
        <v>10</v>
      </c>
      <c r="D20" s="3" t="s">
        <v>7</v>
      </c>
      <c r="E20" s="3">
        <v>1</v>
      </c>
      <c r="F20" s="3">
        <f t="shared" si="17"/>
        <v>1</v>
      </c>
      <c r="G20" s="3">
        <f t="shared" si="17"/>
        <v>1</v>
      </c>
      <c r="H20" s="3">
        <f t="shared" si="17"/>
        <v>1</v>
      </c>
      <c r="I20" s="3">
        <v>0</v>
      </c>
      <c r="J20" s="3">
        <f t="shared" si="17"/>
        <v>0</v>
      </c>
      <c r="K20" s="3">
        <f t="shared" si="17"/>
        <v>0</v>
      </c>
      <c r="L20" s="3">
        <f t="shared" si="17"/>
        <v>0</v>
      </c>
      <c r="M20" s="3">
        <f t="shared" si="17"/>
        <v>0</v>
      </c>
      <c r="N20" s="3">
        <f t="shared" si="17"/>
        <v>0</v>
      </c>
    </row>
    <row r="21" spans="1:14" s="12" customFormat="1" x14ac:dyDescent="0.25">
      <c r="A21" s="11" t="s">
        <v>47</v>
      </c>
      <c r="B21" s="4">
        <v>6</v>
      </c>
      <c r="C21" s="4" t="s">
        <v>46</v>
      </c>
      <c r="D21" s="4" t="s">
        <v>7</v>
      </c>
      <c r="E21" s="10">
        <v>7</v>
      </c>
      <c r="F21" s="4">
        <v>5</v>
      </c>
      <c r="G21" s="4">
        <v>4</v>
      </c>
      <c r="H21" s="4">
        <v>4</v>
      </c>
      <c r="I21" s="4">
        <v>3</v>
      </c>
      <c r="J21" s="4">
        <f t="shared" ref="J21" si="34">I21</f>
        <v>3</v>
      </c>
      <c r="K21" s="4">
        <v>0</v>
      </c>
      <c r="L21" s="4">
        <f t="shared" ref="L21" si="35">K21</f>
        <v>0</v>
      </c>
      <c r="M21" s="4">
        <f t="shared" ref="M21" si="36">L21</f>
        <v>0</v>
      </c>
      <c r="N21" s="4">
        <f t="shared" ref="N21" si="37">M21</f>
        <v>0</v>
      </c>
    </row>
    <row r="22" spans="1:14" x14ac:dyDescent="0.25">
      <c r="A22" s="20" t="s">
        <v>42</v>
      </c>
      <c r="B22" s="3">
        <v>5</v>
      </c>
      <c r="C22" s="3" t="s">
        <v>46</v>
      </c>
      <c r="D22" s="3" t="s">
        <v>7</v>
      </c>
      <c r="E22" s="3">
        <v>5</v>
      </c>
      <c r="F22" s="3">
        <f t="shared" ref="F22:F23" si="38">E22</f>
        <v>5</v>
      </c>
      <c r="G22" s="3">
        <f t="shared" ref="G22:G23" si="39">F22</f>
        <v>5</v>
      </c>
      <c r="H22" s="3">
        <f t="shared" ref="H22" si="40">G22</f>
        <v>5</v>
      </c>
      <c r="I22" s="3">
        <f t="shared" ref="I22" si="41">H22</f>
        <v>5</v>
      </c>
      <c r="J22" s="3">
        <f t="shared" ref="J22" si="42">I22</f>
        <v>5</v>
      </c>
      <c r="K22" s="3">
        <f t="shared" ref="K22:K23" si="43">J22</f>
        <v>5</v>
      </c>
      <c r="L22" s="3">
        <v>0</v>
      </c>
      <c r="M22" s="3">
        <f t="shared" ref="M22:M23" si="44">L22</f>
        <v>0</v>
      </c>
      <c r="N22" s="3">
        <f t="shared" ref="N22:N23" si="45">M22</f>
        <v>0</v>
      </c>
    </row>
    <row r="23" spans="1:14" s="12" customFormat="1" x14ac:dyDescent="0.25">
      <c r="A23" s="19" t="s">
        <v>43</v>
      </c>
      <c r="B23" s="4">
        <v>5</v>
      </c>
      <c r="C23" s="4" t="s">
        <v>10</v>
      </c>
      <c r="D23" s="4" t="s">
        <v>7</v>
      </c>
      <c r="E23" s="10">
        <v>6</v>
      </c>
      <c r="F23" s="4">
        <f t="shared" si="38"/>
        <v>6</v>
      </c>
      <c r="G23" s="4">
        <f t="shared" si="39"/>
        <v>6</v>
      </c>
      <c r="H23" s="4">
        <v>4</v>
      </c>
      <c r="I23" s="4">
        <v>4</v>
      </c>
      <c r="J23" s="4">
        <v>2</v>
      </c>
      <c r="K23" s="4">
        <f t="shared" si="43"/>
        <v>2</v>
      </c>
      <c r="L23" s="4">
        <v>0</v>
      </c>
      <c r="M23" s="4">
        <f t="shared" si="44"/>
        <v>0</v>
      </c>
      <c r="N23" s="4">
        <f t="shared" si="45"/>
        <v>0</v>
      </c>
    </row>
    <row r="24" spans="1:14" x14ac:dyDescent="0.25">
      <c r="A24" s="15" t="s">
        <v>33</v>
      </c>
      <c r="B24" s="16">
        <v>3</v>
      </c>
      <c r="C24" s="16" t="s">
        <v>9</v>
      </c>
      <c r="D24" s="16" t="s">
        <v>7</v>
      </c>
      <c r="E24" s="16">
        <v>3</v>
      </c>
      <c r="F24" s="16">
        <v>4</v>
      </c>
      <c r="G24" s="16">
        <f t="shared" ref="G24" si="46">F24</f>
        <v>4</v>
      </c>
      <c r="H24" s="16">
        <f t="shared" ref="H24" si="47">G24</f>
        <v>4</v>
      </c>
      <c r="I24" s="16">
        <f t="shared" ref="I24" si="48">H24</f>
        <v>4</v>
      </c>
      <c r="J24" s="16">
        <v>3</v>
      </c>
      <c r="K24" s="16">
        <v>2</v>
      </c>
      <c r="L24" s="16">
        <v>1</v>
      </c>
      <c r="M24" s="16">
        <v>0</v>
      </c>
      <c r="N24" s="16">
        <f t="shared" ref="N24" si="49">M24</f>
        <v>0</v>
      </c>
    </row>
    <row r="25" spans="1:14" x14ac:dyDescent="0.25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</row>
    <row r="27" spans="1:14" ht="36.75" customHeight="1" x14ac:dyDescent="0.25">
      <c r="A27" s="21" t="s">
        <v>31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/>
    </row>
    <row r="28" spans="1:14" x14ac:dyDescent="0.25">
      <c r="A28" s="2" t="s">
        <v>34</v>
      </c>
      <c r="B28" s="4">
        <v>5</v>
      </c>
      <c r="C28" s="4" t="s">
        <v>11</v>
      </c>
      <c r="D28" s="4" t="s">
        <v>7</v>
      </c>
      <c r="E28" s="4">
        <v>4</v>
      </c>
      <c r="F28" s="4">
        <f t="shared" ref="F28" si="50">E28</f>
        <v>4</v>
      </c>
      <c r="G28" s="4">
        <f t="shared" ref="G28:G34" si="51">F28</f>
        <v>4</v>
      </c>
      <c r="H28" s="4">
        <f t="shared" ref="H28:H34" si="52">G28</f>
        <v>4</v>
      </c>
      <c r="I28" s="4">
        <v>3</v>
      </c>
      <c r="J28" s="4">
        <f t="shared" ref="J28:J34" si="53">I28</f>
        <v>3</v>
      </c>
      <c r="K28" s="4">
        <v>2</v>
      </c>
      <c r="L28" s="4">
        <v>0</v>
      </c>
      <c r="M28" s="4">
        <f t="shared" ref="M28:M32" si="54">L28</f>
        <v>0</v>
      </c>
      <c r="N28" s="4">
        <f t="shared" ref="N28:N34" si="55">M28</f>
        <v>0</v>
      </c>
    </row>
    <row r="29" spans="1:14" x14ac:dyDescent="0.25">
      <c r="A29" s="1" t="s">
        <v>35</v>
      </c>
      <c r="B29" s="3">
        <v>2</v>
      </c>
      <c r="C29" s="3" t="s">
        <v>10</v>
      </c>
      <c r="D29" s="3" t="s">
        <v>7</v>
      </c>
      <c r="E29" s="3">
        <v>1</v>
      </c>
      <c r="F29" s="3">
        <v>2</v>
      </c>
      <c r="G29" s="3">
        <f t="shared" si="51"/>
        <v>2</v>
      </c>
      <c r="H29" s="3">
        <f t="shared" si="52"/>
        <v>2</v>
      </c>
      <c r="I29" s="3">
        <v>0</v>
      </c>
      <c r="J29" s="3">
        <f t="shared" si="53"/>
        <v>0</v>
      </c>
      <c r="K29" s="3">
        <f t="shared" ref="K29:K34" si="56">J29</f>
        <v>0</v>
      </c>
      <c r="L29" s="3">
        <f t="shared" ref="L29" si="57">K29</f>
        <v>0</v>
      </c>
      <c r="M29" s="3">
        <f t="shared" si="54"/>
        <v>0</v>
      </c>
      <c r="N29" s="3">
        <f t="shared" si="55"/>
        <v>0</v>
      </c>
    </row>
    <row r="30" spans="1:14" x14ac:dyDescent="0.25">
      <c r="A30" s="2" t="s">
        <v>44</v>
      </c>
      <c r="B30" s="4">
        <v>5</v>
      </c>
      <c r="C30" s="4" t="s">
        <v>9</v>
      </c>
      <c r="D30" s="4" t="s">
        <v>7</v>
      </c>
      <c r="E30" s="4">
        <v>6</v>
      </c>
      <c r="F30" s="4">
        <f t="shared" ref="F30" si="58">E30</f>
        <v>6</v>
      </c>
      <c r="G30" s="4">
        <v>5</v>
      </c>
      <c r="H30" s="4">
        <v>4</v>
      </c>
      <c r="I30" s="4">
        <f t="shared" ref="I30:I34" si="59">H30</f>
        <v>4</v>
      </c>
      <c r="J30" s="4">
        <v>3</v>
      </c>
      <c r="K30" s="4">
        <v>2</v>
      </c>
      <c r="L30" s="4">
        <v>0</v>
      </c>
      <c r="M30" s="4">
        <f t="shared" si="54"/>
        <v>0</v>
      </c>
      <c r="N30" s="4">
        <f t="shared" si="55"/>
        <v>0</v>
      </c>
    </row>
    <row r="31" spans="1:14" x14ac:dyDescent="0.25">
      <c r="A31" s="1" t="s">
        <v>45</v>
      </c>
      <c r="B31" s="3">
        <v>5</v>
      </c>
      <c r="C31" s="3" t="s">
        <v>11</v>
      </c>
      <c r="D31" s="3" t="s">
        <v>6</v>
      </c>
      <c r="E31" s="3">
        <v>9</v>
      </c>
      <c r="F31" s="3">
        <f>E31</f>
        <v>9</v>
      </c>
      <c r="G31" s="3">
        <v>10</v>
      </c>
      <c r="H31" s="3">
        <f t="shared" si="52"/>
        <v>10</v>
      </c>
      <c r="I31" s="3">
        <v>12</v>
      </c>
      <c r="J31" s="3">
        <f t="shared" ref="J31" si="60">I31</f>
        <v>12</v>
      </c>
      <c r="K31" s="3">
        <v>9</v>
      </c>
      <c r="L31" s="3">
        <f t="shared" ref="L31" si="61">K31</f>
        <v>9</v>
      </c>
      <c r="M31" s="3">
        <v>7</v>
      </c>
      <c r="N31" s="3">
        <v>6</v>
      </c>
    </row>
    <row r="32" spans="1:14" x14ac:dyDescent="0.25">
      <c r="A32" s="2" t="s">
        <v>36</v>
      </c>
      <c r="B32" s="4">
        <v>1</v>
      </c>
      <c r="C32" s="4" t="s">
        <v>46</v>
      </c>
      <c r="D32" s="4" t="s">
        <v>7</v>
      </c>
      <c r="E32" s="4">
        <v>1</v>
      </c>
      <c r="F32" s="4">
        <f>E32</f>
        <v>1</v>
      </c>
      <c r="G32" s="4">
        <f t="shared" si="51"/>
        <v>1</v>
      </c>
      <c r="H32" s="4">
        <f t="shared" si="52"/>
        <v>1</v>
      </c>
      <c r="I32" s="4">
        <f t="shared" si="59"/>
        <v>1</v>
      </c>
      <c r="J32" s="4">
        <f t="shared" si="53"/>
        <v>1</v>
      </c>
      <c r="K32" s="4">
        <f t="shared" si="56"/>
        <v>1</v>
      </c>
      <c r="L32" s="4">
        <v>0</v>
      </c>
      <c r="M32" s="4">
        <f t="shared" si="54"/>
        <v>0</v>
      </c>
      <c r="N32" s="4">
        <f t="shared" si="55"/>
        <v>0</v>
      </c>
    </row>
    <row r="33" spans="1:14" x14ac:dyDescent="0.25">
      <c r="A33" s="1" t="s">
        <v>37</v>
      </c>
      <c r="B33" s="3">
        <v>1</v>
      </c>
      <c r="C33" s="3" t="s">
        <v>10</v>
      </c>
      <c r="D33" s="3" t="s">
        <v>7</v>
      </c>
      <c r="E33" s="3">
        <v>2</v>
      </c>
      <c r="F33" s="3">
        <f t="shared" ref="F33" si="62">E33</f>
        <v>2</v>
      </c>
      <c r="G33" s="3">
        <f t="shared" si="51"/>
        <v>2</v>
      </c>
      <c r="H33" s="3">
        <f t="shared" si="52"/>
        <v>2</v>
      </c>
      <c r="I33" s="3">
        <f t="shared" si="59"/>
        <v>2</v>
      </c>
      <c r="J33" s="3">
        <f t="shared" si="53"/>
        <v>2</v>
      </c>
      <c r="K33" s="3">
        <f t="shared" si="56"/>
        <v>2</v>
      </c>
      <c r="L33" s="3">
        <v>1</v>
      </c>
      <c r="M33" s="3">
        <v>0</v>
      </c>
      <c r="N33" s="3">
        <f t="shared" si="55"/>
        <v>0</v>
      </c>
    </row>
    <row r="34" spans="1:14" x14ac:dyDescent="0.25">
      <c r="A34" s="11" t="s">
        <v>39</v>
      </c>
      <c r="B34" s="4">
        <v>1</v>
      </c>
      <c r="C34" s="4" t="s">
        <v>9</v>
      </c>
      <c r="D34" s="4" t="s">
        <v>7</v>
      </c>
      <c r="E34" s="4">
        <v>1</v>
      </c>
      <c r="F34" s="4">
        <f>E34</f>
        <v>1</v>
      </c>
      <c r="G34" s="4">
        <f t="shared" si="51"/>
        <v>1</v>
      </c>
      <c r="H34" s="4">
        <f t="shared" si="52"/>
        <v>1</v>
      </c>
      <c r="I34" s="4">
        <f t="shared" si="59"/>
        <v>1</v>
      </c>
      <c r="J34" s="4">
        <f t="shared" si="53"/>
        <v>1</v>
      </c>
      <c r="K34" s="4">
        <f t="shared" si="56"/>
        <v>1</v>
      </c>
      <c r="L34" s="4">
        <f t="shared" ref="L34" si="63">K34</f>
        <v>1</v>
      </c>
      <c r="M34" s="4">
        <v>0</v>
      </c>
      <c r="N34" s="4">
        <f t="shared" si="55"/>
        <v>0</v>
      </c>
    </row>
    <row r="35" spans="1:14" x14ac:dyDescent="0.25">
      <c r="A35" s="15" t="s">
        <v>40</v>
      </c>
      <c r="B35" s="16">
        <v>4</v>
      </c>
      <c r="C35" s="16" t="s">
        <v>9</v>
      </c>
      <c r="D35" s="16" t="s">
        <v>7</v>
      </c>
      <c r="E35" s="16">
        <v>2</v>
      </c>
      <c r="F35" s="16">
        <f t="shared" ref="F35" si="64">E35</f>
        <v>2</v>
      </c>
      <c r="G35" s="16">
        <f t="shared" ref="G35" si="65">F35</f>
        <v>2</v>
      </c>
      <c r="H35" s="16">
        <f t="shared" ref="H35" si="66">G35</f>
        <v>2</v>
      </c>
      <c r="I35" s="16">
        <f t="shared" ref="I35" si="67">H35</f>
        <v>2</v>
      </c>
      <c r="J35" s="16">
        <f t="shared" ref="J35" si="68">I35</f>
        <v>2</v>
      </c>
      <c r="K35" s="16">
        <f t="shared" ref="K35" si="69">J35</f>
        <v>2</v>
      </c>
      <c r="L35" s="16">
        <v>1</v>
      </c>
      <c r="M35" s="16">
        <v>0</v>
      </c>
      <c r="N35" s="16">
        <f t="shared" ref="N35" si="70">M35</f>
        <v>0</v>
      </c>
    </row>
    <row r="38" spans="1:14" x14ac:dyDescent="0.25">
      <c r="A38" s="6" t="s">
        <v>8</v>
      </c>
      <c r="B38" s="5">
        <f>SUM(B5:B34)</f>
        <v>71</v>
      </c>
      <c r="D38" s="5"/>
      <c r="E38" s="5">
        <f>SUM(E5:E34)</f>
        <v>82</v>
      </c>
      <c r="F38" s="5">
        <f>SUM(F5:F34)</f>
        <v>73</v>
      </c>
      <c r="G38" s="5">
        <f t="shared" ref="G38:N38" si="71">SUM(G5:G34)</f>
        <v>66</v>
      </c>
      <c r="H38" s="5">
        <f t="shared" si="71"/>
        <v>50</v>
      </c>
      <c r="I38" s="5">
        <f t="shared" si="71"/>
        <v>44</v>
      </c>
      <c r="J38" s="5">
        <f t="shared" si="71"/>
        <v>38</v>
      </c>
      <c r="K38" s="5">
        <f t="shared" si="71"/>
        <v>26</v>
      </c>
      <c r="L38" s="5">
        <f t="shared" si="71"/>
        <v>12</v>
      </c>
      <c r="M38" s="5">
        <f t="shared" si="71"/>
        <v>7</v>
      </c>
      <c r="N38" s="5">
        <f t="shared" si="71"/>
        <v>6</v>
      </c>
    </row>
    <row r="39" spans="1:14" x14ac:dyDescent="0.25">
      <c r="B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9" t="s">
        <v>12</v>
      </c>
      <c r="B40" s="5">
        <f>MySum( R8, C5:C34)</f>
        <v>19</v>
      </c>
      <c r="D40" s="5"/>
      <c r="E40" s="5">
        <f>MySum( R8, C5:C34)</f>
        <v>23</v>
      </c>
      <c r="F40" s="5">
        <f>MySum(R8, C5:C34)</f>
        <v>21</v>
      </c>
      <c r="G40" s="5">
        <f>MySum(R8, C5:C34)</f>
        <v>20</v>
      </c>
      <c r="H40" s="5">
        <f>MySum(R8, C5:C34)</f>
        <v>18</v>
      </c>
      <c r="I40" s="5">
        <f>MySum(R8, C5:C34)</f>
        <v>18</v>
      </c>
      <c r="J40" s="5">
        <f>MySum(R8, C5:C34)</f>
        <v>17</v>
      </c>
      <c r="K40" s="5">
        <f>MySum(R8, C5:C34)</f>
        <v>11</v>
      </c>
      <c r="L40" s="5">
        <f>MySum(R8, C5:C34)</f>
        <v>9</v>
      </c>
      <c r="M40" s="5">
        <f>MySum(R8, C5:C34)</f>
        <v>7</v>
      </c>
      <c r="N40" s="5">
        <f>MySum(R8, C5:C34)</f>
        <v>6</v>
      </c>
    </row>
    <row r="41" spans="1:14" x14ac:dyDescent="0.25">
      <c r="A41" s="9" t="s">
        <v>13</v>
      </c>
      <c r="B41" s="5">
        <f>MySum( R9, C5:C34)</f>
        <v>19</v>
      </c>
      <c r="D41" s="5"/>
      <c r="E41" s="5">
        <f>MySum( R9, C5:C34)</f>
        <v>23</v>
      </c>
      <c r="F41" s="5">
        <f>MySum(R9, C5:C34)</f>
        <v>22</v>
      </c>
      <c r="G41" s="5">
        <f>MySum(R9, C5:C34)</f>
        <v>20</v>
      </c>
      <c r="H41" s="5">
        <f>MySum(R9, C5:C34)</f>
        <v>12</v>
      </c>
      <c r="I41" s="5">
        <f>MySum(R9, C5:C34)</f>
        <v>11</v>
      </c>
      <c r="J41" s="5">
        <f>MySum(R9, C5:C34)</f>
        <v>8</v>
      </c>
      <c r="K41" s="5">
        <f>MySum(R9, C5:C34)</f>
        <v>5</v>
      </c>
      <c r="L41" s="5">
        <f>MySum(R9, C5:C34)</f>
        <v>2</v>
      </c>
      <c r="M41" s="5">
        <f>MySum(R9, C5:C34)</f>
        <v>0</v>
      </c>
      <c r="N41" s="5">
        <f>MySum(R9, C5:C34)</f>
        <v>0</v>
      </c>
    </row>
    <row r="42" spans="1:14" x14ac:dyDescent="0.25">
      <c r="A42" s="9" t="s">
        <v>14</v>
      </c>
      <c r="B42" s="5">
        <f>MySum( R10, C5:C34)</f>
        <v>19</v>
      </c>
      <c r="D42" s="5"/>
      <c r="E42" s="5">
        <f>MySum( R10, C5:C34)</f>
        <v>20</v>
      </c>
      <c r="F42" s="5">
        <f>MySum(R10, C5:C34)</f>
        <v>17</v>
      </c>
      <c r="G42" s="5">
        <f>MySum(R10, C5:C34)</f>
        <v>14</v>
      </c>
      <c r="H42" s="5">
        <f>MySum(R10, C5:C34)</f>
        <v>11</v>
      </c>
      <c r="I42" s="5">
        <f>MySum(R10, C5:C34)</f>
        <v>9</v>
      </c>
      <c r="J42" s="5">
        <f>MySum(R10, C5:C34)</f>
        <v>9</v>
      </c>
      <c r="K42" s="5">
        <f>MySum(R10, C5:C34)</f>
        <v>6</v>
      </c>
      <c r="L42" s="5">
        <f>MySum(R10, C5:C34)</f>
        <v>0</v>
      </c>
      <c r="M42" s="5">
        <f>MySum(R10, C5:C34)</f>
        <v>0</v>
      </c>
      <c r="N42" s="5">
        <f>MySum(R10, C5:C34)</f>
        <v>0</v>
      </c>
    </row>
    <row r="43" spans="1:14" x14ac:dyDescent="0.25">
      <c r="A43" s="9" t="s">
        <v>15</v>
      </c>
      <c r="B43" s="5">
        <f>MySum( R11, C5:C34)</f>
        <v>14</v>
      </c>
      <c r="D43" s="5"/>
      <c r="E43" s="5">
        <f>MySum(R11, C5:C34)</f>
        <v>16</v>
      </c>
      <c r="F43" s="5">
        <f>MySum(R11, C5:C34)</f>
        <v>13</v>
      </c>
      <c r="G43" s="5">
        <f>MySum(R11, C5:C34)</f>
        <v>12</v>
      </c>
      <c r="H43" s="5">
        <f>MySum(R11, C5:C34)</f>
        <v>9</v>
      </c>
      <c r="I43" s="5">
        <f>MySum(R11, C5:C34)</f>
        <v>6</v>
      </c>
      <c r="J43" s="5">
        <f>MySum(R11, C5:C34)</f>
        <v>4</v>
      </c>
      <c r="K43" s="5">
        <f>MySum(R11, C5:C34)</f>
        <v>4</v>
      </c>
      <c r="L43" s="5">
        <f>MySum(R11, C5:C34)</f>
        <v>1</v>
      </c>
      <c r="M43" s="5">
        <f>MySum(R11, C5:C34)</f>
        <v>0</v>
      </c>
      <c r="N43" s="5">
        <f>MySum(R11, C5:C34)</f>
        <v>0</v>
      </c>
    </row>
    <row r="44" spans="1:14" x14ac:dyDescent="0.25">
      <c r="A44" s="8"/>
    </row>
    <row r="45" spans="1:14" x14ac:dyDescent="0.25">
      <c r="A45" s="6" t="s">
        <v>48</v>
      </c>
      <c r="B45" s="5">
        <f>SUM(B5:B34)</f>
        <v>71</v>
      </c>
      <c r="D45" s="5"/>
      <c r="E45" s="5">
        <f>B45</f>
        <v>71</v>
      </c>
      <c r="F45" s="5">
        <f>E45 - 8</f>
        <v>63</v>
      </c>
      <c r="G45" s="5">
        <f t="shared" ref="G45:N45" si="72">F45 - 8</f>
        <v>55</v>
      </c>
      <c r="H45" s="5">
        <f t="shared" si="72"/>
        <v>47</v>
      </c>
      <c r="I45" s="5">
        <f t="shared" si="72"/>
        <v>39</v>
      </c>
      <c r="J45" s="5">
        <f t="shared" si="72"/>
        <v>31</v>
      </c>
      <c r="K45" s="5">
        <f t="shared" si="72"/>
        <v>23</v>
      </c>
      <c r="L45" s="5">
        <f t="shared" si="72"/>
        <v>15</v>
      </c>
      <c r="M45" s="5">
        <f t="shared" si="72"/>
        <v>7</v>
      </c>
      <c r="N45" s="5">
        <v>0</v>
      </c>
    </row>
  </sheetData>
  <mergeCells count="3">
    <mergeCell ref="A27:N27"/>
    <mergeCell ref="A4:N4"/>
    <mergeCell ref="A1:N1"/>
  </mergeCells>
  <conditionalFormatting sqref="D8:D14 D19">
    <cfRule type="containsText" dxfId="53" priority="79" operator="containsText" text="Completed">
      <formula>NOT(ISERROR(SEARCH("Completed",D8)))</formula>
    </cfRule>
    <cfRule type="containsText" dxfId="52" priority="80" operator="containsText" text="In Progress">
      <formula>NOT(ISERROR(SEARCH("In Progress",D8)))</formula>
    </cfRule>
    <cfRule type="containsText" dxfId="51" priority="81" operator="containsText" text="To Do">
      <formula>NOT(ISERROR(SEARCH("To Do",D8)))</formula>
    </cfRule>
  </conditionalFormatting>
  <conditionalFormatting sqref="D17">
    <cfRule type="containsText" dxfId="50" priority="76" operator="containsText" text="Completed">
      <formula>NOT(ISERROR(SEARCH("Completed",D17)))</formula>
    </cfRule>
    <cfRule type="containsText" dxfId="49" priority="77" operator="containsText" text="In Progress">
      <formula>NOT(ISERROR(SEARCH("In Progress",D17)))</formula>
    </cfRule>
    <cfRule type="containsText" dxfId="48" priority="78" operator="containsText" text="To Do">
      <formula>NOT(ISERROR(SEARCH("To Do",D17)))</formula>
    </cfRule>
  </conditionalFormatting>
  <conditionalFormatting sqref="D18">
    <cfRule type="containsText" dxfId="47" priority="73" operator="containsText" text="Completed">
      <formula>NOT(ISERROR(SEARCH("Completed",D18)))</formula>
    </cfRule>
    <cfRule type="containsText" dxfId="46" priority="74" operator="containsText" text="In Progress">
      <formula>NOT(ISERROR(SEARCH("In Progress",D18)))</formula>
    </cfRule>
    <cfRule type="containsText" dxfId="45" priority="75" operator="containsText" text="To Do">
      <formula>NOT(ISERROR(SEARCH("To Do",D18)))</formula>
    </cfRule>
  </conditionalFormatting>
  <conditionalFormatting sqref="D7">
    <cfRule type="containsText" dxfId="44" priority="70" operator="containsText" text="Completed">
      <formula>NOT(ISERROR(SEARCH("Completed",D7)))</formula>
    </cfRule>
    <cfRule type="containsText" dxfId="43" priority="71" operator="containsText" text="In Progress">
      <formula>NOT(ISERROR(SEARCH("In Progress",D7)))</formula>
    </cfRule>
    <cfRule type="containsText" dxfId="42" priority="72" operator="containsText" text="To Do">
      <formula>NOT(ISERROR(SEARCH("To Do",D7)))</formula>
    </cfRule>
  </conditionalFormatting>
  <conditionalFormatting sqref="D16">
    <cfRule type="containsText" dxfId="41" priority="67" operator="containsText" text="Completed">
      <formula>NOT(ISERROR(SEARCH("Completed",D16)))</formula>
    </cfRule>
    <cfRule type="containsText" dxfId="40" priority="68" operator="containsText" text="In Progress">
      <formula>NOT(ISERROR(SEARCH("In Progress",D16)))</formula>
    </cfRule>
    <cfRule type="containsText" dxfId="39" priority="69" operator="containsText" text="To Do">
      <formula>NOT(ISERROR(SEARCH("To Do",D16)))</formula>
    </cfRule>
  </conditionalFormatting>
  <conditionalFormatting sqref="D15">
    <cfRule type="containsText" dxfId="38" priority="64" operator="containsText" text="Completed">
      <formula>NOT(ISERROR(SEARCH("Completed",D15)))</formula>
    </cfRule>
    <cfRule type="containsText" dxfId="37" priority="65" operator="containsText" text="In Progress">
      <formula>NOT(ISERROR(SEARCH("In Progress",D15)))</formula>
    </cfRule>
    <cfRule type="containsText" dxfId="36" priority="66" operator="containsText" text="To Do">
      <formula>NOT(ISERROR(SEARCH("To Do",D15)))</formula>
    </cfRule>
  </conditionalFormatting>
  <conditionalFormatting sqref="D20">
    <cfRule type="containsText" dxfId="35" priority="61" operator="containsText" text="Completed">
      <formula>NOT(ISERROR(SEARCH("Completed",D20)))</formula>
    </cfRule>
    <cfRule type="containsText" dxfId="34" priority="62" operator="containsText" text="In Progress">
      <formula>NOT(ISERROR(SEARCH("In Progress",D20)))</formula>
    </cfRule>
    <cfRule type="containsText" dxfId="33" priority="63" operator="containsText" text="To Do">
      <formula>NOT(ISERROR(SEARCH("To Do",D20)))</formula>
    </cfRule>
  </conditionalFormatting>
  <conditionalFormatting sqref="D5">
    <cfRule type="containsText" dxfId="32" priority="55" operator="containsText" text="Completed">
      <formula>NOT(ISERROR(SEARCH("Completed",D5)))</formula>
    </cfRule>
    <cfRule type="containsText" dxfId="31" priority="56" operator="containsText" text="In Progress">
      <formula>NOT(ISERROR(SEARCH("In Progress",D5)))</formula>
    </cfRule>
    <cfRule type="containsText" dxfId="30" priority="57" operator="containsText" text="To Do">
      <formula>NOT(ISERROR(SEARCH("To Do",D5)))</formula>
    </cfRule>
  </conditionalFormatting>
  <conditionalFormatting sqref="D6">
    <cfRule type="containsText" dxfId="29" priority="52" operator="containsText" text="Completed">
      <formula>NOT(ISERROR(SEARCH("Completed",D6)))</formula>
    </cfRule>
    <cfRule type="containsText" dxfId="28" priority="53" operator="containsText" text="In Progress">
      <formula>NOT(ISERROR(SEARCH("In Progress",D6)))</formula>
    </cfRule>
    <cfRule type="containsText" dxfId="27" priority="54" operator="containsText" text="To Do">
      <formula>NOT(ISERROR(SEARCH("To Do",D6)))</formula>
    </cfRule>
  </conditionalFormatting>
  <conditionalFormatting sqref="D21 D23">
    <cfRule type="containsText" dxfId="26" priority="46" operator="containsText" text="Completed">
      <formula>NOT(ISERROR(SEARCH("Completed",D21)))</formula>
    </cfRule>
    <cfRule type="containsText" dxfId="25" priority="47" operator="containsText" text="In Progress">
      <formula>NOT(ISERROR(SEARCH("In Progress",D21)))</formula>
    </cfRule>
    <cfRule type="containsText" dxfId="24" priority="48" operator="containsText" text="To Do">
      <formula>NOT(ISERROR(SEARCH("To Do",D21)))</formula>
    </cfRule>
  </conditionalFormatting>
  <conditionalFormatting sqref="D31:D33">
    <cfRule type="containsText" dxfId="23" priority="43" operator="containsText" text="Completed">
      <formula>NOT(ISERROR(SEARCH("Completed",D31)))</formula>
    </cfRule>
    <cfRule type="containsText" dxfId="22" priority="44" operator="containsText" text="In Progress">
      <formula>NOT(ISERROR(SEARCH("In Progress",D31)))</formula>
    </cfRule>
    <cfRule type="containsText" dxfId="21" priority="45" operator="containsText" text="To Do">
      <formula>NOT(ISERROR(SEARCH("To Do",D31)))</formula>
    </cfRule>
  </conditionalFormatting>
  <conditionalFormatting sqref="D30">
    <cfRule type="containsText" dxfId="20" priority="34" operator="containsText" text="Completed">
      <formula>NOT(ISERROR(SEARCH("Completed",D30)))</formula>
    </cfRule>
    <cfRule type="containsText" dxfId="19" priority="35" operator="containsText" text="In Progress">
      <formula>NOT(ISERROR(SEARCH("In Progress",D30)))</formula>
    </cfRule>
    <cfRule type="containsText" dxfId="18" priority="36" operator="containsText" text="To Do">
      <formula>NOT(ISERROR(SEARCH("To Do",D30)))</formula>
    </cfRule>
  </conditionalFormatting>
  <conditionalFormatting sqref="D34">
    <cfRule type="containsText" dxfId="17" priority="22" operator="containsText" text="Completed">
      <formula>NOT(ISERROR(SEARCH("Completed",D34)))</formula>
    </cfRule>
    <cfRule type="containsText" dxfId="16" priority="23" operator="containsText" text="In Progress">
      <formula>NOT(ISERROR(SEARCH("In Progress",D34)))</formula>
    </cfRule>
    <cfRule type="containsText" dxfId="15" priority="24" operator="containsText" text="To Do">
      <formula>NOT(ISERROR(SEARCH("To Do",D34)))</formula>
    </cfRule>
  </conditionalFormatting>
  <conditionalFormatting sqref="D28">
    <cfRule type="containsText" dxfId="14" priority="19" operator="containsText" text="Completed">
      <formula>NOT(ISERROR(SEARCH("Completed",D28)))</formula>
    </cfRule>
    <cfRule type="containsText" dxfId="13" priority="20" operator="containsText" text="In Progress">
      <formula>NOT(ISERROR(SEARCH("In Progress",D28)))</formula>
    </cfRule>
    <cfRule type="containsText" dxfId="12" priority="21" operator="containsText" text="To Do">
      <formula>NOT(ISERROR(SEARCH("To Do",D28)))</formula>
    </cfRule>
  </conditionalFormatting>
  <conditionalFormatting sqref="D29">
    <cfRule type="containsText" dxfId="11" priority="16" operator="containsText" text="Completed">
      <formula>NOT(ISERROR(SEARCH("Completed",D29)))</formula>
    </cfRule>
    <cfRule type="containsText" dxfId="10" priority="17" operator="containsText" text="In Progress">
      <formula>NOT(ISERROR(SEARCH("In Progress",D29)))</formula>
    </cfRule>
    <cfRule type="containsText" dxfId="9" priority="18" operator="containsText" text="To Do">
      <formula>NOT(ISERROR(SEARCH("To Do",D29)))</formula>
    </cfRule>
  </conditionalFormatting>
  <conditionalFormatting sqref="D24:D25">
    <cfRule type="containsText" dxfId="8" priority="7" operator="containsText" text="Completed">
      <formula>NOT(ISERROR(SEARCH("Completed",D24)))</formula>
    </cfRule>
    <cfRule type="containsText" dxfId="7" priority="8" operator="containsText" text="In Progress">
      <formula>NOT(ISERROR(SEARCH("In Progress",D24)))</formula>
    </cfRule>
    <cfRule type="containsText" dxfId="6" priority="9" operator="containsText" text="To Do">
      <formula>NOT(ISERROR(SEARCH("To Do",D24)))</formula>
    </cfRule>
  </conditionalFormatting>
  <conditionalFormatting sqref="D22">
    <cfRule type="containsText" dxfId="5" priority="4" operator="containsText" text="Completed">
      <formula>NOT(ISERROR(SEARCH("Completed",D22)))</formula>
    </cfRule>
    <cfRule type="containsText" dxfId="4" priority="5" operator="containsText" text="In Progress">
      <formula>NOT(ISERROR(SEARCH("In Progress",D22)))</formula>
    </cfRule>
    <cfRule type="containsText" dxfId="3" priority="6" operator="containsText" text="To Do">
      <formula>NOT(ISERROR(SEARCH("To Do",D22)))</formula>
    </cfRule>
  </conditionalFormatting>
  <conditionalFormatting sqref="D35">
    <cfRule type="containsText" dxfId="2" priority="1" operator="containsText" text="Completed">
      <formula>NOT(ISERROR(SEARCH("Completed",D35)))</formula>
    </cfRule>
    <cfRule type="containsText" dxfId="1" priority="2" operator="containsText" text="In Progress">
      <formula>NOT(ISERROR(SEARCH("In Progress",D35)))</formula>
    </cfRule>
    <cfRule type="containsText" dxfId="0" priority="3" operator="containsText" text="To Do">
      <formula>NOT(ISERROR(SEARCH("To Do",D35)))</formula>
    </cfRule>
  </conditionalFormatting>
  <dataValidations count="2">
    <dataValidation type="list" allowBlank="1" showInputMessage="1" showErrorMessage="1" sqref="D5:D25 D28:D35">
      <formula1>$S$8:$S$10</formula1>
    </dataValidation>
    <dataValidation type="list" allowBlank="1" showInputMessage="1" showErrorMessage="1" sqref="C5:C25 C28:C35">
      <formula1>$R$8:$R$12</formula1>
    </dataValidation>
  </dataValidations>
  <pageMargins left="0.75" right="0.75" top="1" bottom="1" header="0.5" footer="0.5"/>
  <pageSetup paperSize="9" orientation="portrait" horizontalDpi="4294967292" verticalDpi="4294967292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Strachan</dc:creator>
  <cp:lastModifiedBy>Yolina</cp:lastModifiedBy>
  <dcterms:created xsi:type="dcterms:W3CDTF">2012-09-26T13:05:49Z</dcterms:created>
  <dcterms:modified xsi:type="dcterms:W3CDTF">2012-10-12T11:41:08Z</dcterms:modified>
</cp:coreProperties>
</file>