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624" codeName="{8C4F1C90-05EB-6A55-5F09-09C24B55AC0B}"/>
  <workbookPr showInkAnnotation="0" codeName="ThisWorkbook" autoCompressPictures="0"/>
  <bookViews>
    <workbookView xWindow="0" yWindow="180" windowWidth="15360" windowHeight="812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3" i="1" l="1"/>
  <c r="B40" i="1"/>
  <c r="E40" i="1"/>
  <c r="F40" i="1"/>
  <c r="G40" i="1"/>
  <c r="H40" i="1"/>
  <c r="I40" i="1"/>
  <c r="J40" i="1"/>
  <c r="K40" i="1"/>
  <c r="L40" i="1"/>
  <c r="M40" i="1"/>
  <c r="E33" i="1"/>
  <c r="B38" i="1"/>
  <c r="B37" i="1"/>
  <c r="B36" i="1"/>
  <c r="B35" i="1"/>
  <c r="N38" i="1"/>
  <c r="N37" i="1"/>
  <c r="N36" i="1"/>
  <c r="N35" i="1"/>
  <c r="M38" i="1"/>
  <c r="M37" i="1"/>
  <c r="M36" i="1"/>
  <c r="M35" i="1"/>
  <c r="L38" i="1"/>
  <c r="L37" i="1"/>
  <c r="L36" i="1"/>
  <c r="L35" i="1"/>
  <c r="K38" i="1"/>
  <c r="K37" i="1"/>
  <c r="K36" i="1"/>
  <c r="K35" i="1"/>
  <c r="J38" i="1"/>
  <c r="J37" i="1"/>
  <c r="J36" i="1"/>
  <c r="J35" i="1"/>
  <c r="I38" i="1"/>
  <c r="I37" i="1"/>
  <c r="I36" i="1"/>
  <c r="I35" i="1"/>
  <c r="H38" i="1"/>
  <c r="H37" i="1"/>
  <c r="H36" i="1"/>
  <c r="H35" i="1"/>
  <c r="G38" i="1"/>
  <c r="G37" i="1"/>
  <c r="G36" i="1"/>
  <c r="G35" i="1"/>
  <c r="F38" i="1"/>
  <c r="F37" i="1"/>
  <c r="F36" i="1"/>
  <c r="F35" i="1"/>
  <c r="E38" i="1"/>
  <c r="E37" i="1"/>
  <c r="E35" i="1"/>
  <c r="E36" i="1"/>
  <c r="F33" i="1"/>
  <c r="H33" i="1"/>
  <c r="G33" i="1"/>
  <c r="I33" i="1"/>
  <c r="J33" i="1"/>
  <c r="K33" i="1"/>
  <c r="L33" i="1"/>
  <c r="M33" i="1"/>
  <c r="N33" i="1"/>
</calcChain>
</file>

<file path=xl/sharedStrings.xml><?xml version="1.0" encoding="utf-8"?>
<sst xmlns="http://schemas.openxmlformats.org/spreadsheetml/2006/main" count="88" uniqueCount="42">
  <si>
    <t>Effort</t>
  </si>
  <si>
    <t>Responsible</t>
  </si>
  <si>
    <t>Status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</si>
  <si>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</si>
  <si>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</si>
  <si>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</si>
  <si>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</si>
  <si>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</si>
  <si>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</si>
  <si>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</si>
  <si>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</si>
  <si>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</si>
  <si>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</si>
  <si>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</si>
  <si>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USER STORY</t>
  </si>
  <si>
    <t>TEAM WORK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</si>
  <si>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</si>
  <si>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</si>
  <si>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</si>
  <si>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</si>
  <si>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Code presentation of data in sentence form</t>
  </si>
  <si>
    <t xml:space="preserve">Stress test the feature code </t>
  </si>
  <si>
    <t>Code fetching the current data from the source found</t>
  </si>
  <si>
    <t>Code fetching data for the previous Friday</t>
  </si>
  <si>
    <t>Calum M</t>
  </si>
  <si>
    <t xml:space="preserve">Mutual Effort Remaining (Planned)    </t>
  </si>
  <si>
    <t>Team 1 - Sprint Backlog - Sprint #2 - 31/10/12 - 14/11/12</t>
  </si>
  <si>
    <t>See how much all my shares are worth in total</t>
  </si>
  <si>
    <t>See how much each set of shares is worth</t>
  </si>
  <si>
    <t>See how much money has been lost/gained in a week</t>
  </si>
  <si>
    <t>Retreive price of each set of shares from data structure</t>
  </si>
  <si>
    <t>Link user interface button to code</t>
  </si>
  <si>
    <t>Implement the multiplication of the number of shares * value of an individual share</t>
  </si>
  <si>
    <t>Display each shares total worth on the app using a simple onclick display</t>
  </si>
  <si>
    <t>Implement the display of each share set and its worth in a table and display this on the app</t>
  </si>
  <si>
    <t>Show loss in red and gain in green</t>
  </si>
  <si>
    <t>Retreive price of each share from data structure</t>
  </si>
  <si>
    <t>Alter code from task 1 to multiply share price by units per company</t>
  </si>
  <si>
    <t>Alter code from task 1 to sum up all multiplication results</t>
  </si>
  <si>
    <t>Stress test code</t>
  </si>
  <si>
    <t>Display loss in red and gain in green</t>
  </si>
  <si>
    <t>Stress test the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</si>
</sst>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charset val="129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3" xfId="0" applyFill="1" applyBorder="1"/>
    <xf numFmtId="0" fontId="3" fillId="2" borderId="4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 textRotation="180"/>
    </xf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0" fillId="2" borderId="7" xfId="0" applyFill="1" applyBorder="1"/>
    <xf numFmtId="0" fontId="6" fillId="0" borderId="0" xfId="0" applyFont="1"/>
    <xf numFmtId="0" fontId="1" fillId="0" borderId="0" xfId="0" applyFont="1" applyAlignment="1">
      <alignment horizontal="center"/>
    </xf>
    <xf numFmtId="0" fontId="0" fillId="2" borderId="0" xfId="0" applyFill="1" applyBorder="1"/>
    <xf numFmtId="0" fontId="0" fillId="3" borderId="7" xfId="0" applyFill="1" applyBorder="1"/>
    <xf numFmtId="0" fontId="0" fillId="3" borderId="2" xfId="0" applyFill="1" applyBorder="1" applyAlignment="1">
      <alignment horizontal="center"/>
    </xf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48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val>
            <c:numRef>
              <c:f>Sheet1!$E$40:$N$40</c:f>
              <c:numCache>
                <c:formatCode>General</c:formatCode>
                <c:ptCount val="10"/>
                <c:pt idx="0">
                  <c:v>60.0</c:v>
                </c:pt>
                <c:pt idx="1">
                  <c:v>52.0</c:v>
                </c:pt>
                <c:pt idx="2">
                  <c:v>44.0</c:v>
                </c:pt>
                <c:pt idx="3">
                  <c:v>36.0</c:v>
                </c:pt>
                <c:pt idx="4">
                  <c:v>28.0</c:v>
                </c:pt>
                <c:pt idx="5">
                  <c:v>20.0</c:v>
                </c:pt>
                <c:pt idx="6">
                  <c:v>12.0</c:v>
                </c:pt>
                <c:pt idx="7">
                  <c:v>4.0</c:v>
                </c:pt>
                <c:pt idx="8">
                  <c:v>-4.0</c:v>
                </c:pt>
                <c:pt idx="9">
                  <c:v>0.0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Sheet1!$E$33:$N$33</c:f>
              <c:numCache>
                <c:formatCode>General</c:formatCode>
                <c:ptCount val="10"/>
                <c:pt idx="0">
                  <c:v>6.0</c:v>
                </c:pt>
                <c:pt idx="1">
                  <c:v>6.0</c:v>
                </c:pt>
                <c:pt idx="2">
                  <c:v>6.0</c:v>
                </c:pt>
                <c:pt idx="3">
                  <c:v>6.0</c:v>
                </c:pt>
                <c:pt idx="4">
                  <c:v>6.0</c:v>
                </c:pt>
                <c:pt idx="5">
                  <c:v>6.0</c:v>
                </c:pt>
                <c:pt idx="6">
                  <c:v>6.0</c:v>
                </c:pt>
                <c:pt idx="7">
                  <c:v>6.0</c:v>
                </c:pt>
                <c:pt idx="8">
                  <c:v>6.0</c:v>
                </c:pt>
                <c:pt idx="9">
                  <c:v>6.0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668904"/>
        <c:axId val="2111671032"/>
      </c:lineChart>
      <c:catAx>
        <c:axId val="21116689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111671032"/>
        <c:crosses val="autoZero"/>
        <c:auto val="1"/>
        <c:lblAlgn val="ctr"/>
        <c:lblOffset val="100"/>
        <c:noMultiLvlLbl val="0"/>
      </c:catAx>
      <c:valAx>
        <c:axId val="2111671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1668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"/>
          <c:y val="0.023148247390889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Sheet1!$E$35:$N$35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Sheet1!$E$36:$N$36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Sheet1!$E$37:$N$37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Sheet1!$E$38:$N$38</c:f>
              <c:numCache>
                <c:formatCode>General</c:formatCode>
                <c:ptCount val="1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745288"/>
        <c:axId val="2111748472"/>
      </c:lineChart>
      <c:dateAx>
        <c:axId val="211174528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111748472"/>
        <c:crosses val="autoZero"/>
        <c:auto val="1"/>
        <c:lblOffset val="100"/>
        <c:baseTimeUnit val="days"/>
      </c:dateAx>
      <c:valAx>
        <c:axId val="2111748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17452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43</xdr:row>
      <xdr:rowOff>33336</xdr:rowOff>
    </xdr:from>
    <xdr:to>
      <xdr:col>0</xdr:col>
      <xdr:colOff>6677024</xdr:colOff>
      <xdr:row>62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43</xdr:row>
      <xdr:rowOff>23811</xdr:rowOff>
    </xdr:from>
    <xdr:to>
      <xdr:col>15</xdr:col>
      <xdr:colOff>161925</xdr:colOff>
      <xdr:row>62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40"/>
  <sheetViews>
    <sheetView tabSelected="1" workbookViewId="0">
      <selection activeCell="D32" sqref="D32"/>
    </sheetView>
  </sheetViews>
  <sheetFormatPr baseColWidth="10" defaultColWidth="11" defaultRowHeight="15" x14ac:dyDescent="0"/>
  <cols>
    <col min="1" max="1" width="96.83203125" customWidth="1"/>
    <col min="3" max="3" width="15.83203125" style="5" customWidth="1"/>
    <col min="5" max="17" width="4.5" customWidth="1"/>
    <col min="18" max="18" width="12.1640625" customWidth="1"/>
  </cols>
  <sheetData>
    <row r="1" spans="1:19" ht="20">
      <c r="A1" s="21" t="s">
        <v>26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7"/>
      <c r="P1" s="7"/>
      <c r="Q1" s="7"/>
      <c r="R1" s="7"/>
    </row>
    <row r="3" spans="1:19" ht="73.5" customHeight="1">
      <c r="A3" s="11" t="s">
        <v>14</v>
      </c>
      <c r="B3" s="11" t="s">
        <v>0</v>
      </c>
      <c r="C3" s="11" t="s">
        <v>1</v>
      </c>
      <c r="D3" s="11" t="s">
        <v>2</v>
      </c>
      <c r="E3" s="12">
        <v>41213</v>
      </c>
      <c r="F3" s="12">
        <v>41214</v>
      </c>
      <c r="G3" s="12">
        <v>41215</v>
      </c>
      <c r="H3" s="12">
        <v>41218</v>
      </c>
      <c r="I3" s="12">
        <v>41219</v>
      </c>
      <c r="J3" s="12">
        <v>41220</v>
      </c>
      <c r="K3" s="12">
        <v>41221</v>
      </c>
      <c r="L3" s="12">
        <v>41222</v>
      </c>
      <c r="M3" s="12">
        <v>41194</v>
      </c>
      <c r="N3" s="12">
        <v>41195</v>
      </c>
      <c r="O3" s="12">
        <v>41196</v>
      </c>
    </row>
    <row r="4" spans="1:19" ht="36.75" customHeight="1">
      <c r="A4" s="18" t="s">
        <v>27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1:19">
      <c r="A5" s="2" t="s">
        <v>16</v>
      </c>
      <c r="B5" s="4">
        <v>0</v>
      </c>
      <c r="C5" s="4" t="s">
        <v>9</v>
      </c>
      <c r="D5" s="4" t="s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</row>
    <row r="6" spans="1:19">
      <c r="A6" s="1" t="s">
        <v>17</v>
      </c>
      <c r="B6" s="3">
        <v>0</v>
      </c>
      <c r="C6" s="3" t="s">
        <v>8</v>
      </c>
      <c r="D6" s="3" t="s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</row>
    <row r="7" spans="1:19">
      <c r="A7" s="2" t="s">
        <v>22</v>
      </c>
      <c r="B7" s="4">
        <v>0</v>
      </c>
      <c r="C7" s="4" t="s">
        <v>7</v>
      </c>
      <c r="D7" s="4" t="s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</row>
    <row r="8" spans="1:19">
      <c r="A8" s="1" t="s">
        <v>23</v>
      </c>
      <c r="B8" s="3">
        <v>6</v>
      </c>
      <c r="C8" s="3" t="s">
        <v>9</v>
      </c>
      <c r="D8" s="3" t="s">
        <v>4</v>
      </c>
      <c r="E8" s="3">
        <v>6</v>
      </c>
      <c r="F8" s="3">
        <v>6</v>
      </c>
      <c r="G8" s="3">
        <v>6</v>
      </c>
      <c r="H8" s="3">
        <v>6</v>
      </c>
      <c r="I8" s="3">
        <v>6</v>
      </c>
      <c r="J8" s="3">
        <v>6</v>
      </c>
      <c r="K8" s="3">
        <v>6</v>
      </c>
      <c r="L8" s="3">
        <v>6</v>
      </c>
      <c r="M8" s="3">
        <v>6</v>
      </c>
      <c r="N8" s="3">
        <v>6</v>
      </c>
      <c r="O8" s="3">
        <v>6</v>
      </c>
      <c r="R8" s="20" t="s">
        <v>9</v>
      </c>
      <c r="S8" s="20" t="s">
        <v>3</v>
      </c>
    </row>
    <row r="9" spans="1:19">
      <c r="A9" s="2" t="s">
        <v>18</v>
      </c>
      <c r="B9" s="4">
        <v>0</v>
      </c>
      <c r="C9" s="4" t="s">
        <v>24</v>
      </c>
      <c r="D9" s="4" t="s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R9" s="20" t="s">
        <v>7</v>
      </c>
      <c r="S9" s="20" t="s">
        <v>4</v>
      </c>
    </row>
    <row r="10" spans="1:19">
      <c r="A10" s="1" t="s">
        <v>19</v>
      </c>
      <c r="B10" s="3">
        <v>0</v>
      </c>
      <c r="C10" s="3" t="s">
        <v>8</v>
      </c>
      <c r="D10" s="3" t="s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R10" s="20" t="s">
        <v>24</v>
      </c>
      <c r="S10" s="20" t="s">
        <v>5</v>
      </c>
    </row>
    <row r="11" spans="1:19">
      <c r="A11" s="10" t="s">
        <v>20</v>
      </c>
      <c r="B11" s="4">
        <v>0</v>
      </c>
      <c r="C11" s="4" t="s">
        <v>7</v>
      </c>
      <c r="D11" s="4" t="s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R11" s="20" t="s">
        <v>8</v>
      </c>
      <c r="S11" s="20"/>
    </row>
    <row r="12" spans="1:19">
      <c r="A12" s="19" t="s">
        <v>21</v>
      </c>
      <c r="B12" s="13">
        <v>0</v>
      </c>
      <c r="C12" s="13" t="s">
        <v>7</v>
      </c>
      <c r="D12" s="13" t="s">
        <v>5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R12" s="20" t="s">
        <v>15</v>
      </c>
      <c r="S12" s="20"/>
    </row>
    <row r="13" spans="1:19">
      <c r="A13" s="14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9" ht="36" customHeight="1">
      <c r="A14" s="18" t="s">
        <v>29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7"/>
    </row>
    <row r="15" spans="1:19">
      <c r="A15" s="2" t="s">
        <v>36</v>
      </c>
      <c r="B15" s="4">
        <v>12</v>
      </c>
      <c r="C15" s="4" t="s">
        <v>9</v>
      </c>
      <c r="D15" s="4" t="s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</row>
    <row r="16" spans="1:19" ht="15" customHeight="1">
      <c r="A16" s="1" t="s">
        <v>37</v>
      </c>
      <c r="B16" s="3">
        <v>4</v>
      </c>
      <c r="C16" s="3" t="s">
        <v>24</v>
      </c>
      <c r="D16" s="4" t="s">
        <v>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</row>
    <row r="17" spans="1:15">
      <c r="A17" s="2" t="s">
        <v>38</v>
      </c>
      <c r="B17" s="4">
        <v>4</v>
      </c>
      <c r="C17" s="4" t="s">
        <v>7</v>
      </c>
      <c r="D17" s="4" t="s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</row>
    <row r="18" spans="1:15">
      <c r="A18" s="1" t="s">
        <v>31</v>
      </c>
      <c r="B18" s="3">
        <v>2</v>
      </c>
      <c r="C18" s="3" t="s">
        <v>8</v>
      </c>
      <c r="D18" s="4" t="s">
        <v>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</row>
    <row r="19" spans="1:15">
      <c r="A19" s="2" t="s">
        <v>20</v>
      </c>
      <c r="B19" s="4">
        <v>3</v>
      </c>
      <c r="C19" s="4" t="s">
        <v>8</v>
      </c>
      <c r="D19" s="4" t="s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</row>
    <row r="20" spans="1:15">
      <c r="A20" s="1" t="s">
        <v>40</v>
      </c>
      <c r="B20" s="3">
        <v>4</v>
      </c>
      <c r="C20" s="3" t="s">
        <v>7</v>
      </c>
      <c r="D20" s="4" t="s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</row>
    <row r="21" spans="1:15">
      <c r="A21" s="23" t="s">
        <v>41</v>
      </c>
      <c r="B21" s="24">
        <v>0</v>
      </c>
      <c r="C21" s="24" t="s">
        <v>24</v>
      </c>
      <c r="D21" s="4" t="s">
        <v>3</v>
      </c>
      <c r="E21" s="24">
        <v>0</v>
      </c>
      <c r="F21" s="24">
        <v>0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</row>
    <row r="22" spans="1:15">
      <c r="A22" s="14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5" ht="36" customHeight="1">
      <c r="A23" s="18" t="s">
        <v>28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</row>
    <row r="24" spans="1:15">
      <c r="A24" s="2" t="s">
        <v>30</v>
      </c>
      <c r="B24" s="4">
        <v>6</v>
      </c>
      <c r="C24" s="4" t="s">
        <v>24</v>
      </c>
      <c r="D24" s="4" t="s">
        <v>3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</row>
    <row r="25" spans="1:15">
      <c r="A25" s="1" t="s">
        <v>31</v>
      </c>
      <c r="B25" s="3">
        <v>2</v>
      </c>
      <c r="C25" s="3" t="s">
        <v>8</v>
      </c>
      <c r="D25" s="4" t="s">
        <v>3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</row>
    <row r="26" spans="1:15">
      <c r="A26" s="2" t="s">
        <v>32</v>
      </c>
      <c r="B26" s="4">
        <v>4</v>
      </c>
      <c r="C26" s="4" t="s">
        <v>7</v>
      </c>
      <c r="D26" s="4" t="s">
        <v>3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</row>
    <row r="27" spans="1:15">
      <c r="A27" s="1" t="s">
        <v>33</v>
      </c>
      <c r="B27" s="3">
        <v>4</v>
      </c>
      <c r="C27" s="3" t="s">
        <v>9</v>
      </c>
      <c r="D27" s="4" t="s">
        <v>3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</row>
    <row r="28" spans="1:15">
      <c r="A28" s="2" t="s">
        <v>34</v>
      </c>
      <c r="B28" s="4">
        <v>5</v>
      </c>
      <c r="C28" s="4" t="s">
        <v>7</v>
      </c>
      <c r="D28" s="4" t="s">
        <v>3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</row>
    <row r="29" spans="1:15">
      <c r="A29" s="22" t="s">
        <v>35</v>
      </c>
      <c r="B29" s="3">
        <v>4</v>
      </c>
      <c r="C29" s="3" t="s">
        <v>8</v>
      </c>
      <c r="D29" s="4" t="s">
        <v>3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</row>
    <row r="30" spans="1:15">
      <c r="A30" s="23" t="s">
        <v>39</v>
      </c>
      <c r="B30" s="24">
        <v>5</v>
      </c>
      <c r="C30" s="24" t="s">
        <v>24</v>
      </c>
      <c r="D30" s="4" t="s">
        <v>3</v>
      </c>
      <c r="E30" s="24">
        <v>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</row>
    <row r="33" spans="1:14">
      <c r="A33" s="6" t="s">
        <v>6</v>
      </c>
      <c r="B33" s="5">
        <f>SUM(B5:B30)</f>
        <v>65</v>
      </c>
      <c r="D33" s="5"/>
      <c r="E33" s="5">
        <f>SUM(E5:E29)</f>
        <v>6</v>
      </c>
      <c r="F33" s="5">
        <f>SUM(F5:F29)</f>
        <v>6</v>
      </c>
      <c r="G33" s="5">
        <f>SUM(G5:G29)</f>
        <v>6</v>
      </c>
      <c r="H33" s="5">
        <f>SUM(H5:H29)</f>
        <v>6</v>
      </c>
      <c r="I33" s="5">
        <f>SUM(I5:I29)</f>
        <v>6</v>
      </c>
      <c r="J33" s="5">
        <f>SUM(J5:J29)</f>
        <v>6</v>
      </c>
      <c r="K33" s="5">
        <f>SUM(K5:K29)</f>
        <v>6</v>
      </c>
      <c r="L33" s="5">
        <f>SUM(L5:L29)</f>
        <v>6</v>
      </c>
      <c r="M33" s="5">
        <f>SUM(M5:M29)</f>
        <v>6</v>
      </c>
      <c r="N33" s="5">
        <f>SUM(N5:N29)</f>
        <v>6</v>
      </c>
    </row>
    <row r="34" spans="1:14">
      <c r="B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>
      <c r="A35" s="9" t="s">
        <v>10</v>
      </c>
      <c r="B35" s="5" t="e">
        <f>MySum( R8, C5:C29)</f>
        <v>#VALUE!</v>
      </c>
      <c r="D35" s="5"/>
      <c r="E35" s="5" t="e">
        <f>MySum( R8, C5:C29)</f>
        <v>#VALUE!</v>
      </c>
      <c r="F35" s="5" t="e">
        <f>MySum(R8, C5:C29)</f>
        <v>#VALUE!</v>
      </c>
      <c r="G35" s="5" t="e">
        <f>MySum(R8, C5:C29)</f>
        <v>#VALUE!</v>
      </c>
      <c r="H35" s="5" t="e">
        <f>MySum(R8, C5:C29)</f>
        <v>#VALUE!</v>
      </c>
      <c r="I35" s="5" t="e">
        <f>MySum(R8, C5:C29)</f>
        <v>#VALUE!</v>
      </c>
      <c r="J35" s="5" t="e">
        <f>MySum(R8, C5:C29)</f>
        <v>#VALUE!</v>
      </c>
      <c r="K35" s="5" t="e">
        <f>MySum(R8, C5:C29)</f>
        <v>#VALUE!</v>
      </c>
      <c r="L35" s="5" t="e">
        <f>MySum(R8, C5:C29)</f>
        <v>#VALUE!</v>
      </c>
      <c r="M35" s="5" t="e">
        <f>MySum(R8, C5:C29)</f>
        <v>#VALUE!</v>
      </c>
      <c r="N35" s="5" t="e">
        <f>MySum(R8, C5:C29)</f>
        <v>#VALUE!</v>
      </c>
    </row>
    <row r="36" spans="1:14">
      <c r="A36" s="9" t="s">
        <v>11</v>
      </c>
      <c r="B36" s="5" t="e">
        <f>MySum( R9, C5:C29)</f>
        <v>#VALUE!</v>
      </c>
      <c r="D36" s="5"/>
      <c r="E36" s="5" t="e">
        <f>MySum( R9, C5:C29)</f>
        <v>#VALUE!</v>
      </c>
      <c r="F36" s="5" t="e">
        <f>MySum(R9, C5:C29)</f>
        <v>#VALUE!</v>
      </c>
      <c r="G36" s="5" t="e">
        <f>MySum(R9, C5:C29)</f>
        <v>#VALUE!</v>
      </c>
      <c r="H36" s="5" t="e">
        <f>MySum(R9, C5:C29)</f>
        <v>#VALUE!</v>
      </c>
      <c r="I36" s="5" t="e">
        <f>MySum(R9, C5:C29)</f>
        <v>#VALUE!</v>
      </c>
      <c r="J36" s="5" t="e">
        <f>MySum(R9, C5:C29)</f>
        <v>#VALUE!</v>
      </c>
      <c r="K36" s="5" t="e">
        <f>MySum(R9, C5:C29)</f>
        <v>#VALUE!</v>
      </c>
      <c r="L36" s="5" t="e">
        <f>MySum(R9, C5:C29)</f>
        <v>#VALUE!</v>
      </c>
      <c r="M36" s="5" t="e">
        <f>MySum(R9, C5:C29)</f>
        <v>#VALUE!</v>
      </c>
      <c r="N36" s="5" t="e">
        <f>MySum(R9, C5:C29)</f>
        <v>#VALUE!</v>
      </c>
    </row>
    <row r="37" spans="1:14">
      <c r="A37" s="9" t="s">
        <v>12</v>
      </c>
      <c r="B37" s="5" t="e">
        <f>MySum( R10, C5:C29)</f>
        <v>#VALUE!</v>
      </c>
      <c r="D37" s="5"/>
      <c r="E37" s="5" t="e">
        <f>MySum( R10, C5:C29)</f>
        <v>#VALUE!</v>
      </c>
      <c r="F37" s="5" t="e">
        <f>MySum(R10, C5:C29)</f>
        <v>#VALUE!</v>
      </c>
      <c r="G37" s="5" t="e">
        <f>MySum(R10, C5:C29)</f>
        <v>#VALUE!</v>
      </c>
      <c r="H37" s="5" t="e">
        <f>MySum(R10, C5:C29)</f>
        <v>#VALUE!</v>
      </c>
      <c r="I37" s="5" t="e">
        <f>MySum(R10, C5:C29)</f>
        <v>#VALUE!</v>
      </c>
      <c r="J37" s="5" t="e">
        <f>MySum(R10, C5:C29)</f>
        <v>#VALUE!</v>
      </c>
      <c r="K37" s="5" t="e">
        <f>MySum(R10, C5:C29)</f>
        <v>#VALUE!</v>
      </c>
      <c r="L37" s="5" t="e">
        <f>MySum(R10, C5:C29)</f>
        <v>#VALUE!</v>
      </c>
      <c r="M37" s="5" t="e">
        <f>MySum(R10, C5:C29)</f>
        <v>#VALUE!</v>
      </c>
      <c r="N37" s="5" t="e">
        <f>MySum(R10, C5:C29)</f>
        <v>#VALUE!</v>
      </c>
    </row>
    <row r="38" spans="1:14">
      <c r="A38" s="9" t="s">
        <v>13</v>
      </c>
      <c r="B38" s="5" t="e">
        <f>MySum( R11, C5:C29)</f>
        <v>#VALUE!</v>
      </c>
      <c r="D38" s="5"/>
      <c r="E38" s="5" t="e">
        <f>MySum(R11, C5:C29)</f>
        <v>#VALUE!</v>
      </c>
      <c r="F38" s="5" t="e">
        <f>MySum(R11, C5:C29)</f>
        <v>#VALUE!</v>
      </c>
      <c r="G38" s="5" t="e">
        <f>MySum(R11, C5:C29)</f>
        <v>#VALUE!</v>
      </c>
      <c r="H38" s="5" t="e">
        <f>MySum(R11, C5:C29)</f>
        <v>#VALUE!</v>
      </c>
      <c r="I38" s="5" t="e">
        <f>MySum(R11, C5:C29)</f>
        <v>#VALUE!</v>
      </c>
      <c r="J38" s="5" t="e">
        <f>MySum(R11, C5:C29)</f>
        <v>#VALUE!</v>
      </c>
      <c r="K38" s="5" t="e">
        <f>MySum(R11, C5:C29)</f>
        <v>#VALUE!</v>
      </c>
      <c r="L38" s="5" t="e">
        <f>MySum(R11, C5:C29)</f>
        <v>#VALUE!</v>
      </c>
      <c r="M38" s="5" t="e">
        <f>MySum(R11, C5:C29)</f>
        <v>#VALUE!</v>
      </c>
      <c r="N38" s="5" t="e">
        <f>MySum(R11, C5:C29)</f>
        <v>#VALUE!</v>
      </c>
    </row>
    <row r="39" spans="1:14">
      <c r="A39" s="8"/>
    </row>
    <row r="40" spans="1:14">
      <c r="A40" s="6" t="s">
        <v>25</v>
      </c>
      <c r="B40" s="5">
        <f>SUM(B5:B29)</f>
        <v>60</v>
      </c>
      <c r="D40" s="5"/>
      <c r="E40" s="5">
        <f>B40</f>
        <v>60</v>
      </c>
      <c r="F40" s="5">
        <f>E40 - 8</f>
        <v>52</v>
      </c>
      <c r="G40" s="5">
        <f t="shared" ref="G40:M40" si="0">F40 - 8</f>
        <v>44</v>
      </c>
      <c r="H40" s="5">
        <f t="shared" si="0"/>
        <v>36</v>
      </c>
      <c r="I40" s="5">
        <f t="shared" si="0"/>
        <v>28</v>
      </c>
      <c r="J40" s="5">
        <f t="shared" si="0"/>
        <v>20</v>
      </c>
      <c r="K40" s="5">
        <f t="shared" si="0"/>
        <v>12</v>
      </c>
      <c r="L40" s="5">
        <f t="shared" si="0"/>
        <v>4</v>
      </c>
      <c r="M40" s="5">
        <f t="shared" si="0"/>
        <v>-4</v>
      </c>
      <c r="N40" s="5">
        <v>0</v>
      </c>
    </row>
  </sheetData>
  <mergeCells count="1">
    <mergeCell ref="A1:N1"/>
  </mergeCells>
  <conditionalFormatting sqref="D8:D13 D22">
    <cfRule type="containsText" dxfId="47" priority="97" operator="containsText" text="Completed">
      <formula>NOT(ISERROR(SEARCH("Completed",D8)))</formula>
    </cfRule>
    <cfRule type="containsText" dxfId="46" priority="98" operator="containsText" text="In Progress">
      <formula>NOT(ISERROR(SEARCH("In Progress",D8)))</formula>
    </cfRule>
    <cfRule type="containsText" dxfId="45" priority="99" operator="containsText" text="To Do">
      <formula>NOT(ISERROR(SEARCH("To Do",D8)))</formula>
    </cfRule>
  </conditionalFormatting>
  <conditionalFormatting sqref="D7">
    <cfRule type="containsText" dxfId="44" priority="88" operator="containsText" text="Completed">
      <formula>NOT(ISERROR(SEARCH("Completed",D7)))</formula>
    </cfRule>
    <cfRule type="containsText" dxfId="43" priority="89" operator="containsText" text="In Progress">
      <formula>NOT(ISERROR(SEARCH("In Progress",D7)))</formula>
    </cfRule>
    <cfRule type="containsText" dxfId="42" priority="90" operator="containsText" text="To Do">
      <formula>NOT(ISERROR(SEARCH("To Do",D7)))</formula>
    </cfRule>
  </conditionalFormatting>
  <conditionalFormatting sqref="D5">
    <cfRule type="containsText" dxfId="41" priority="73" operator="containsText" text="Completed">
      <formula>NOT(ISERROR(SEARCH("Completed",D5)))</formula>
    </cfRule>
    <cfRule type="containsText" dxfId="40" priority="74" operator="containsText" text="In Progress">
      <formula>NOT(ISERROR(SEARCH("In Progress",D5)))</formula>
    </cfRule>
    <cfRule type="containsText" dxfId="39" priority="75" operator="containsText" text="To Do">
      <formula>NOT(ISERROR(SEARCH("To Do",D5)))</formula>
    </cfRule>
  </conditionalFormatting>
  <conditionalFormatting sqref="D6">
    <cfRule type="containsText" dxfId="38" priority="70" operator="containsText" text="Completed">
      <formula>NOT(ISERROR(SEARCH("Completed",D6)))</formula>
    </cfRule>
    <cfRule type="containsText" dxfId="37" priority="71" operator="containsText" text="In Progress">
      <formula>NOT(ISERROR(SEARCH("In Progress",D6)))</formula>
    </cfRule>
    <cfRule type="containsText" dxfId="36" priority="72" operator="containsText" text="To Do">
      <formula>NOT(ISERROR(SEARCH("To Do",D6)))</formula>
    </cfRule>
  </conditionalFormatting>
  <conditionalFormatting sqref="D24:D30">
    <cfRule type="containsText" dxfId="29" priority="37" operator="containsText" text="Completed">
      <formula>NOT(ISERROR(SEARCH("Completed",D24)))</formula>
    </cfRule>
    <cfRule type="containsText" dxfId="28" priority="38" operator="containsText" text="In Progress">
      <formula>NOT(ISERROR(SEARCH("In Progress",D24)))</formula>
    </cfRule>
    <cfRule type="containsText" dxfId="27" priority="39" operator="containsText" text="To Do">
      <formula>NOT(ISERROR(SEARCH("To Do",D24)))</formula>
    </cfRule>
  </conditionalFormatting>
  <conditionalFormatting sqref="D15:D21">
    <cfRule type="containsText" dxfId="14" priority="7" operator="containsText" text="Completed">
      <formula>NOT(ISERROR(SEARCH("Completed",D15)))</formula>
    </cfRule>
    <cfRule type="containsText" dxfId="13" priority="8" operator="containsText" text="In Progress">
      <formula>NOT(ISERROR(SEARCH("In Progress",D15)))</formula>
    </cfRule>
    <cfRule type="containsText" dxfId="12" priority="9" operator="containsText" text="To Do">
      <formula>NOT(ISERROR(SEARCH("To Do",D15)))</formula>
    </cfRule>
  </conditionalFormatting>
  <dataValidations count="2">
    <dataValidation type="list" allowBlank="1" showInputMessage="1" showErrorMessage="1" sqref="D15:D22 D5:D13 D24:D30">
      <formula1>$S$8:$S$10</formula1>
    </dataValidation>
    <dataValidation type="list" allowBlank="1" showInputMessage="1" showErrorMessage="1" sqref="C24:C30 C5:C13 C15:C22">
      <formula1>$R$8:$R$12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Ross Strachan</cp:lastModifiedBy>
  <dcterms:created xsi:type="dcterms:W3CDTF">2012-09-26T13:05:49Z</dcterms:created>
  <dcterms:modified xsi:type="dcterms:W3CDTF">2012-11-12T19:23:57Z</dcterms:modified>
</cp:coreProperties>
</file>