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8C4F1C90-05EB-6A55-5F09-09C24B55AC0B}"/>
  <workbookPr showInkAnnotation="0" codeName="ThisWorkbook" autoCompressPictures="0"/>
  <bookViews>
    <workbookView xWindow="0" yWindow="0" windowWidth="25600" windowHeight="1460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1" i="1" l="1"/>
  <c r="O36" i="1"/>
  <c r="O37" i="1"/>
  <c r="O38" i="1"/>
  <c r="O39" i="1"/>
  <c r="O34" i="1"/>
  <c r="N39" i="1"/>
  <c r="N38" i="1"/>
  <c r="N37" i="1"/>
  <c r="N36" i="1"/>
  <c r="M39" i="1"/>
  <c r="M38" i="1"/>
  <c r="M37" i="1"/>
  <c r="M36" i="1"/>
  <c r="L39" i="1"/>
  <c r="L38" i="1"/>
  <c r="L37" i="1"/>
  <c r="L36" i="1"/>
  <c r="K38" i="1"/>
  <c r="K37" i="1"/>
  <c r="K36" i="1"/>
  <c r="K39" i="1"/>
  <c r="J39" i="1"/>
  <c r="J38" i="1"/>
  <c r="J37" i="1"/>
  <c r="J36" i="1"/>
  <c r="I39" i="1"/>
  <c r="I38" i="1"/>
  <c r="I37" i="1"/>
  <c r="I36" i="1"/>
  <c r="H38" i="1"/>
  <c r="H37" i="1"/>
  <c r="H36" i="1"/>
  <c r="H39" i="1"/>
  <c r="G39" i="1"/>
  <c r="G38" i="1"/>
  <c r="G37" i="1"/>
  <c r="G36" i="1"/>
  <c r="F39" i="1"/>
  <c r="F38" i="1"/>
  <c r="F37" i="1"/>
  <c r="F36" i="1"/>
  <c r="E39" i="1"/>
  <c r="E38" i="1"/>
  <c r="E37" i="1"/>
  <c r="E36" i="1"/>
  <c r="B39" i="1"/>
  <c r="B38" i="1"/>
  <c r="B37" i="1"/>
  <c r="B36" i="1"/>
  <c r="N27" i="1"/>
  <c r="O27" i="1"/>
  <c r="F21" i="1"/>
  <c r="F31" i="1"/>
  <c r="G31" i="1"/>
  <c r="H31" i="1"/>
  <c r="I31" i="1"/>
  <c r="J31" i="1"/>
  <c r="K31" i="1"/>
  <c r="L31" i="1"/>
  <c r="M31" i="1"/>
  <c r="F30" i="1"/>
  <c r="G30" i="1"/>
  <c r="H30" i="1"/>
  <c r="I30" i="1"/>
  <c r="J30" i="1"/>
  <c r="L30" i="1"/>
  <c r="M30" i="1"/>
  <c r="O30" i="1"/>
  <c r="F29" i="1"/>
  <c r="G29" i="1"/>
  <c r="L29" i="1"/>
  <c r="M29" i="1"/>
  <c r="N29" i="1"/>
  <c r="O29" i="1"/>
  <c r="G28" i="1"/>
  <c r="H28" i="1"/>
  <c r="L28" i="1"/>
  <c r="M28" i="1"/>
  <c r="O28" i="1"/>
  <c r="F27" i="1"/>
  <c r="G27" i="1"/>
  <c r="H27" i="1"/>
  <c r="I27" i="1"/>
  <c r="H26" i="1"/>
  <c r="I26" i="1"/>
  <c r="J26" i="1"/>
  <c r="K26" i="1"/>
  <c r="L26" i="1"/>
  <c r="M26" i="1"/>
  <c r="N26" i="1"/>
  <c r="O26" i="1"/>
  <c r="F25" i="1"/>
  <c r="G25" i="1"/>
  <c r="H25" i="1"/>
  <c r="N25" i="1"/>
  <c r="O25" i="1"/>
  <c r="F22" i="1"/>
  <c r="G22" i="1"/>
  <c r="H22" i="1"/>
  <c r="I22" i="1"/>
  <c r="J22" i="1"/>
  <c r="K22" i="1"/>
  <c r="L22" i="1"/>
  <c r="M22" i="1"/>
  <c r="G21" i="1"/>
  <c r="H21" i="1"/>
  <c r="I21" i="1"/>
  <c r="J21" i="1"/>
  <c r="K21" i="1"/>
  <c r="L21" i="1"/>
  <c r="O21" i="1"/>
  <c r="F20" i="1"/>
  <c r="G20" i="1"/>
  <c r="H20" i="1"/>
  <c r="I20" i="1"/>
  <c r="K20" i="1"/>
  <c r="N20" i="1"/>
  <c r="O20" i="1"/>
  <c r="F19" i="1"/>
  <c r="G19" i="1"/>
  <c r="H19" i="1"/>
  <c r="I19" i="1"/>
  <c r="J19" i="1"/>
  <c r="K19" i="1"/>
  <c r="M19" i="1"/>
  <c r="N19" i="1"/>
  <c r="O19" i="1"/>
  <c r="G18" i="1"/>
  <c r="H18" i="1"/>
  <c r="J18" i="1"/>
  <c r="L18" i="1"/>
  <c r="M18" i="1"/>
  <c r="N18" i="1"/>
  <c r="O18" i="1"/>
  <c r="I17" i="1"/>
  <c r="J17" i="1"/>
  <c r="K17" i="1"/>
  <c r="L17" i="1"/>
  <c r="M17" i="1"/>
  <c r="N17" i="1"/>
  <c r="O17" i="1"/>
  <c r="N16" i="1"/>
  <c r="O16" i="1"/>
  <c r="G13" i="1"/>
  <c r="H13" i="1"/>
  <c r="M13" i="1"/>
  <c r="N13" i="1"/>
  <c r="O13" i="1"/>
  <c r="I12" i="1"/>
  <c r="J12" i="1"/>
  <c r="K12" i="1"/>
  <c r="L12" i="1"/>
  <c r="M12" i="1"/>
  <c r="N12" i="1"/>
  <c r="O12" i="1"/>
  <c r="G11" i="1"/>
  <c r="H11" i="1"/>
  <c r="I11" i="1"/>
  <c r="J11" i="1"/>
  <c r="K11" i="1"/>
  <c r="L11" i="1"/>
  <c r="M11" i="1"/>
  <c r="N11" i="1"/>
  <c r="O11" i="1"/>
  <c r="G10" i="1"/>
  <c r="H10" i="1"/>
  <c r="I10" i="1"/>
  <c r="J10" i="1"/>
  <c r="K10" i="1"/>
  <c r="L10" i="1"/>
  <c r="M10" i="1"/>
  <c r="N10" i="1"/>
  <c r="O10" i="1"/>
  <c r="G9" i="1"/>
  <c r="H9" i="1"/>
  <c r="I9" i="1"/>
  <c r="J9" i="1"/>
  <c r="K9" i="1"/>
  <c r="L9" i="1"/>
  <c r="M9" i="1"/>
  <c r="N9" i="1"/>
  <c r="O9" i="1"/>
  <c r="K8" i="1"/>
  <c r="L8" i="1"/>
  <c r="M8" i="1"/>
  <c r="N8" i="1"/>
  <c r="O8" i="1"/>
  <c r="G7" i="1"/>
  <c r="H7" i="1"/>
  <c r="I7" i="1"/>
  <c r="J7" i="1"/>
  <c r="K7" i="1"/>
  <c r="L7" i="1"/>
  <c r="M7" i="1"/>
  <c r="N7" i="1"/>
  <c r="O7" i="1"/>
  <c r="G6" i="1"/>
  <c r="H6" i="1"/>
  <c r="I6" i="1"/>
  <c r="J6" i="1"/>
  <c r="K6" i="1"/>
  <c r="L6" i="1"/>
  <c r="M6" i="1"/>
  <c r="N6" i="1"/>
  <c r="O6" i="1"/>
  <c r="F6" i="1"/>
  <c r="F7" i="1"/>
  <c r="F9" i="1"/>
  <c r="F10" i="1"/>
  <c r="F11" i="1"/>
  <c r="F13" i="1"/>
  <c r="H5" i="1"/>
  <c r="I5" i="1"/>
  <c r="J5" i="1"/>
  <c r="K5" i="1"/>
  <c r="L5" i="1"/>
  <c r="M5" i="1"/>
  <c r="N5" i="1"/>
  <c r="O5" i="1"/>
  <c r="G5" i="1"/>
  <c r="F5" i="1"/>
  <c r="B34" i="1"/>
  <c r="B41" i="1"/>
  <c r="E41" i="1"/>
  <c r="F41" i="1"/>
  <c r="G41" i="1"/>
  <c r="H41" i="1"/>
  <c r="I41" i="1"/>
  <c r="J41" i="1"/>
  <c r="K41" i="1"/>
  <c r="L41" i="1"/>
  <c r="M41" i="1"/>
  <c r="E34" i="1"/>
  <c r="F34" i="1"/>
  <c r="H34" i="1"/>
  <c r="G34" i="1"/>
  <c r="I34" i="1"/>
  <c r="J34" i="1"/>
  <c r="K34" i="1"/>
  <c r="L34" i="1"/>
  <c r="M34" i="1"/>
  <c r="N34" i="1"/>
</calcChain>
</file>

<file path=xl/sharedStrings.xml><?xml version="1.0" encoding="utf-8"?>
<sst xmlns="http://schemas.openxmlformats.org/spreadsheetml/2006/main" count="91" uniqueCount="42">
  <si>
    <t>Effort</t>
  </si>
  <si>
    <t>Responsible</t>
  </si>
  <si>
    <t>Status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</si>
  <si>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</si>
  <si>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</si>
  <si>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</si>
  <si>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</si>
  <si>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</si>
  <si>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</si>
  <si>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</si>
  <si>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</si>
  <si>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</si>
  <si>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</si>
  <si>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</si>
  <si>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USER STORY</t>
  </si>
  <si>
    <t>TEAM WORK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</si>
  <si>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</si>
  <si>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</si>
  <si>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</si>
  <si>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</si>
  <si>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Code presentation of data in sentence form</t>
  </si>
  <si>
    <t>Code fetching the current data from the source found</t>
  </si>
  <si>
    <t>Code fetching data for the previous Friday</t>
  </si>
  <si>
    <t>Calum M</t>
  </si>
  <si>
    <t xml:space="preserve">Mutual Effort Remaining (Planned)    </t>
  </si>
  <si>
    <t>Team 1 - Sprint Backlog - Sprint #2 - 31/10/12 - 14/11/12</t>
  </si>
  <si>
    <t>See how much all my shares are worth in total</t>
  </si>
  <si>
    <t>See how much each set of shares is worth</t>
  </si>
  <si>
    <t>See how much money has been lost/gained in a week</t>
  </si>
  <si>
    <t>Retreive price of each set of shares from data structure</t>
  </si>
  <si>
    <t>Link user interface button to code</t>
  </si>
  <si>
    <t>Implement the multiplication of the number of shares * value of an individual share</t>
  </si>
  <si>
    <t>Display each shares total worth on the app using a simple onclick display</t>
  </si>
  <si>
    <t>Implement the display of each share set and its worth in a table and display this on the app</t>
  </si>
  <si>
    <t>Show loss in red and gain in green</t>
  </si>
  <si>
    <t>Retreive price of each share from data structure</t>
  </si>
  <si>
    <t>Alter code from task 1 to multiply share price by units per company</t>
  </si>
  <si>
    <t>Alter code from task 1 to sum up all multiplication results</t>
  </si>
  <si>
    <t>Display loss in red and gain in green</t>
  </si>
  <si>
    <t>Ensure that the previous weeks portfolio is strored by the app and updated every Friday at 4:30pm</t>
  </si>
  <si>
    <t xml:space="preserve">Test the code </t>
  </si>
  <si>
    <t>Test the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</si>
</sst>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charset val="129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3" xfId="0" applyFill="1" applyBorder="1"/>
    <xf numFmtId="0" fontId="3" fillId="2" borderId="4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 textRotation="18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0" xfId="0" applyFont="1"/>
    <xf numFmtId="0" fontId="0" fillId="2" borderId="0" xfId="0" applyFill="1" applyBorder="1"/>
    <xf numFmtId="0" fontId="0" fillId="3" borderId="7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/>
    <xf numFmtId="0" fontId="1" fillId="0" borderId="0" xfId="0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18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Mutual Remaining Effort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Planned Effort</c:v>
          </c:tx>
          <c:marker>
            <c:symbol val="none"/>
          </c:marker>
          <c:cat>
            <c:numRef>
              <c:f>Sheet1!$V$7:$V$17</c:f>
              <c:numCache>
                <c:formatCode>m/d/yy</c:formatCode>
                <c:ptCount val="11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41225.0</c:v>
                </c:pt>
                <c:pt idx="9">
                  <c:v>41226.0</c:v>
                </c:pt>
                <c:pt idx="10">
                  <c:v>41227.0</c:v>
                </c:pt>
              </c:numCache>
            </c:numRef>
          </c:cat>
          <c:val>
            <c:numRef>
              <c:f>Sheet1!$E$41:$O$41</c:f>
              <c:numCache>
                <c:formatCode>General</c:formatCode>
                <c:ptCount val="11"/>
                <c:pt idx="0">
                  <c:v>73.0</c:v>
                </c:pt>
                <c:pt idx="1">
                  <c:v>65.0</c:v>
                </c:pt>
                <c:pt idx="2">
                  <c:v>57.0</c:v>
                </c:pt>
                <c:pt idx="3">
                  <c:v>49.0</c:v>
                </c:pt>
                <c:pt idx="4">
                  <c:v>41.0</c:v>
                </c:pt>
                <c:pt idx="5">
                  <c:v>33.0</c:v>
                </c:pt>
                <c:pt idx="6">
                  <c:v>25.0</c:v>
                </c:pt>
                <c:pt idx="7">
                  <c:v>17.0</c:v>
                </c:pt>
                <c:pt idx="8">
                  <c:v>9.0</c:v>
                </c:pt>
                <c:pt idx="9">
                  <c:v>1.0</c:v>
                </c:pt>
                <c:pt idx="10">
                  <c:v>0.0</c:v>
                </c:pt>
              </c:numCache>
            </c:numRef>
          </c:val>
          <c:smooth val="0"/>
        </c:ser>
        <c:ser>
          <c:idx val="0"/>
          <c:order val="1"/>
          <c:tx>
            <c:v>Actual Effort</c:v>
          </c:tx>
          <c:marker>
            <c:symbol val="none"/>
          </c:marker>
          <c:cat>
            <c:numRef>
              <c:f>Sheet1!$V$7:$V$17</c:f>
              <c:numCache>
                <c:formatCode>m/d/yy</c:formatCode>
                <c:ptCount val="11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41225.0</c:v>
                </c:pt>
                <c:pt idx="9">
                  <c:v>41226.0</c:v>
                </c:pt>
                <c:pt idx="10">
                  <c:v>41227.0</c:v>
                </c:pt>
              </c:numCache>
            </c:numRef>
          </c:cat>
          <c:val>
            <c:numRef>
              <c:f>Sheet1!$E$34:$O$34</c:f>
              <c:numCache>
                <c:formatCode>General</c:formatCode>
                <c:ptCount val="11"/>
                <c:pt idx="0">
                  <c:v>74.0</c:v>
                </c:pt>
                <c:pt idx="1">
                  <c:v>63.0</c:v>
                </c:pt>
                <c:pt idx="2">
                  <c:v>55.0</c:v>
                </c:pt>
                <c:pt idx="3">
                  <c:v>52.0</c:v>
                </c:pt>
                <c:pt idx="4">
                  <c:v>41.0</c:v>
                </c:pt>
                <c:pt idx="5">
                  <c:v>33.0</c:v>
                </c:pt>
                <c:pt idx="6">
                  <c:v>29.0</c:v>
                </c:pt>
                <c:pt idx="7">
                  <c:v>18.0</c:v>
                </c:pt>
                <c:pt idx="8">
                  <c:v>11.0</c:v>
                </c:pt>
                <c:pt idx="9">
                  <c:v>3.0</c:v>
                </c:pt>
                <c:pt idx="1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494968"/>
        <c:axId val="2143497992"/>
      </c:lineChart>
      <c:dateAx>
        <c:axId val="214349496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2143497992"/>
        <c:crosses val="autoZero"/>
        <c:auto val="1"/>
        <c:lblOffset val="100"/>
        <c:baseTimeUnit val="days"/>
      </c:dateAx>
      <c:valAx>
        <c:axId val="2143497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Mutual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43494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aseline="0"/>
              <a:t>Members' Remaining Effort</a:t>
            </a:r>
            <a:endParaRPr lang="en-GB"/>
          </a:p>
        </c:rich>
      </c:tx>
      <c:layout>
        <c:manualLayout>
          <c:xMode val="edge"/>
          <c:yMode val="edge"/>
          <c:x val="0.307684323550465"/>
          <c:y val="0.023148247390889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Yolina Kostova</c:v>
          </c:tx>
          <c:marker>
            <c:symbol val="none"/>
          </c:marker>
          <c:cat>
            <c:numRef>
              <c:f>Sheet1!$V$7:$V$17</c:f>
              <c:numCache>
                <c:formatCode>m/d/yy</c:formatCode>
                <c:ptCount val="11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41225.0</c:v>
                </c:pt>
                <c:pt idx="9">
                  <c:v>41226.0</c:v>
                </c:pt>
                <c:pt idx="10">
                  <c:v>41227.0</c:v>
                </c:pt>
              </c:numCache>
            </c:numRef>
          </c:cat>
          <c:val>
            <c:numRef>
              <c:f>Sheet1!$E$36:$O$36</c:f>
              <c:numCache>
                <c:formatCode>General</c:formatCode>
                <c:ptCount val="11"/>
                <c:pt idx="0">
                  <c:v>18.0</c:v>
                </c:pt>
                <c:pt idx="1">
                  <c:v>13.0</c:v>
                </c:pt>
                <c:pt idx="2">
                  <c:v>10.0</c:v>
                </c:pt>
                <c:pt idx="3">
                  <c:v>10.0</c:v>
                </c:pt>
                <c:pt idx="4">
                  <c:v>6.0</c:v>
                </c:pt>
                <c:pt idx="5">
                  <c:v>4.0</c:v>
                </c:pt>
                <c:pt idx="6">
                  <c:v>3.0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</c:numCache>
            </c:numRef>
          </c:val>
          <c:smooth val="0"/>
        </c:ser>
        <c:ser>
          <c:idx val="3"/>
          <c:order val="1"/>
          <c:tx>
            <c:v>Warren Ryndycz</c:v>
          </c:tx>
          <c:marker>
            <c:symbol val="none"/>
          </c:marker>
          <c:cat>
            <c:numRef>
              <c:f>Sheet1!$V$7:$V$17</c:f>
              <c:numCache>
                <c:formatCode>m/d/yy</c:formatCode>
                <c:ptCount val="11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41225.0</c:v>
                </c:pt>
                <c:pt idx="9">
                  <c:v>41226.0</c:v>
                </c:pt>
                <c:pt idx="10">
                  <c:v>41227.0</c:v>
                </c:pt>
              </c:numCache>
            </c:numRef>
          </c:cat>
          <c:val>
            <c:numRef>
              <c:f>Sheet1!$E$37:$O$37</c:f>
              <c:numCache>
                <c:formatCode>General</c:formatCode>
                <c:ptCount val="11"/>
                <c:pt idx="0">
                  <c:v>19.0</c:v>
                </c:pt>
                <c:pt idx="1">
                  <c:v>18.0</c:v>
                </c:pt>
                <c:pt idx="2">
                  <c:v>18.0</c:v>
                </c:pt>
                <c:pt idx="3">
                  <c:v>17.0</c:v>
                </c:pt>
                <c:pt idx="4">
                  <c:v>13.0</c:v>
                </c:pt>
                <c:pt idx="5">
                  <c:v>11.0</c:v>
                </c:pt>
                <c:pt idx="6">
                  <c:v>9.0</c:v>
                </c:pt>
                <c:pt idx="7">
                  <c:v>5.0</c:v>
                </c:pt>
                <c:pt idx="8">
                  <c:v>2.0</c:v>
                </c:pt>
                <c:pt idx="9">
                  <c:v>0.0</c:v>
                </c:pt>
                <c:pt idx="10">
                  <c:v>0.0</c:v>
                </c:pt>
              </c:numCache>
            </c:numRef>
          </c:val>
          <c:smooth val="0"/>
        </c:ser>
        <c:ser>
          <c:idx val="4"/>
          <c:order val="2"/>
          <c:tx>
            <c:v>Calum Murray</c:v>
          </c:tx>
          <c:marker>
            <c:symbol val="none"/>
          </c:marker>
          <c:cat>
            <c:numRef>
              <c:f>Sheet1!$V$7:$V$17</c:f>
              <c:numCache>
                <c:formatCode>m/d/yy</c:formatCode>
                <c:ptCount val="11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41225.0</c:v>
                </c:pt>
                <c:pt idx="9">
                  <c:v>41226.0</c:v>
                </c:pt>
                <c:pt idx="10">
                  <c:v>41227.0</c:v>
                </c:pt>
              </c:numCache>
            </c:numRef>
          </c:cat>
          <c:val>
            <c:numRef>
              <c:f>Sheet1!$E$38:$O$38</c:f>
              <c:numCache>
                <c:formatCode>General</c:formatCode>
                <c:ptCount val="11"/>
                <c:pt idx="0">
                  <c:v>19.0</c:v>
                </c:pt>
                <c:pt idx="1">
                  <c:v>17.0</c:v>
                </c:pt>
                <c:pt idx="2">
                  <c:v>15.0</c:v>
                </c:pt>
                <c:pt idx="3">
                  <c:v>14.0</c:v>
                </c:pt>
                <c:pt idx="4">
                  <c:v>13.0</c:v>
                </c:pt>
                <c:pt idx="5">
                  <c:v>10.0</c:v>
                </c:pt>
                <c:pt idx="6">
                  <c:v>11.0</c:v>
                </c:pt>
                <c:pt idx="7">
                  <c:v>8.0</c:v>
                </c:pt>
                <c:pt idx="8">
                  <c:v>5.0</c:v>
                </c:pt>
                <c:pt idx="9">
                  <c:v>3.0</c:v>
                </c:pt>
                <c:pt idx="10">
                  <c:v>0.0</c:v>
                </c:pt>
              </c:numCache>
            </c:numRef>
          </c:val>
          <c:smooth val="0"/>
        </c:ser>
        <c:ser>
          <c:idx val="5"/>
          <c:order val="3"/>
          <c:tx>
            <c:v>Ross Strachan</c:v>
          </c:tx>
          <c:marker>
            <c:symbol val="none"/>
          </c:marker>
          <c:cat>
            <c:numRef>
              <c:f>Sheet1!$V$7:$V$17</c:f>
              <c:numCache>
                <c:formatCode>m/d/yy</c:formatCode>
                <c:ptCount val="11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41225.0</c:v>
                </c:pt>
                <c:pt idx="9">
                  <c:v>41226.0</c:v>
                </c:pt>
                <c:pt idx="10">
                  <c:v>41227.0</c:v>
                </c:pt>
              </c:numCache>
            </c:numRef>
          </c:cat>
          <c:val>
            <c:numRef>
              <c:f>Sheet1!$E$39:$O$39</c:f>
              <c:numCache>
                <c:formatCode>General</c:formatCode>
                <c:ptCount val="11"/>
                <c:pt idx="0">
                  <c:v>18.0</c:v>
                </c:pt>
                <c:pt idx="1">
                  <c:v>15.0</c:v>
                </c:pt>
                <c:pt idx="2">
                  <c:v>12.0</c:v>
                </c:pt>
                <c:pt idx="3">
                  <c:v>11.0</c:v>
                </c:pt>
                <c:pt idx="4">
                  <c:v>9.0</c:v>
                </c:pt>
                <c:pt idx="5">
                  <c:v>8.0</c:v>
                </c:pt>
                <c:pt idx="6">
                  <c:v>6.0</c:v>
                </c:pt>
                <c:pt idx="7">
                  <c:v>4.0</c:v>
                </c:pt>
                <c:pt idx="8">
                  <c:v>4.0</c:v>
                </c:pt>
                <c:pt idx="9">
                  <c:v>0.0</c:v>
                </c:pt>
                <c:pt idx="1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337000"/>
        <c:axId val="2120328152"/>
      </c:lineChart>
      <c:dateAx>
        <c:axId val="213733700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2120328152"/>
        <c:crosses val="autoZero"/>
        <c:auto val="1"/>
        <c:lblOffset val="100"/>
        <c:baseTimeUnit val="days"/>
      </c:dateAx>
      <c:valAx>
        <c:axId val="2120328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b="1"/>
                  <a:t>Member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73370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44</xdr:row>
      <xdr:rowOff>33336</xdr:rowOff>
    </xdr:from>
    <xdr:to>
      <xdr:col>0</xdr:col>
      <xdr:colOff>6677024</xdr:colOff>
      <xdr:row>63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44</xdr:row>
      <xdr:rowOff>23811</xdr:rowOff>
    </xdr:from>
    <xdr:to>
      <xdr:col>15</xdr:col>
      <xdr:colOff>161925</xdr:colOff>
      <xdr:row>63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41"/>
  <sheetViews>
    <sheetView tabSelected="1" topLeftCell="E1" workbookViewId="0">
      <selection activeCell="S6" sqref="S6"/>
    </sheetView>
  </sheetViews>
  <sheetFormatPr baseColWidth="10" defaultColWidth="11" defaultRowHeight="15" x14ac:dyDescent="0"/>
  <cols>
    <col min="1" max="1" width="96.83203125" customWidth="1"/>
    <col min="3" max="3" width="15.83203125" style="5" customWidth="1"/>
    <col min="5" max="17" width="4.5" customWidth="1"/>
    <col min="18" max="18" width="12.1640625" customWidth="1"/>
  </cols>
  <sheetData>
    <row r="1" spans="1:22" ht="20">
      <c r="A1" s="23" t="s">
        <v>25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7"/>
      <c r="P1" s="7"/>
      <c r="Q1" s="7"/>
      <c r="R1" s="7"/>
    </row>
    <row r="3" spans="1:22" ht="73.5" customHeight="1">
      <c r="A3" s="11" t="s">
        <v>14</v>
      </c>
      <c r="B3" s="11" t="s">
        <v>0</v>
      </c>
      <c r="C3" s="11" t="s">
        <v>1</v>
      </c>
      <c r="D3" s="11" t="s">
        <v>2</v>
      </c>
      <c r="E3" s="12">
        <v>41213</v>
      </c>
      <c r="F3" s="12">
        <v>41214</v>
      </c>
      <c r="G3" s="12">
        <v>41215</v>
      </c>
      <c r="H3" s="12">
        <v>41218</v>
      </c>
      <c r="I3" s="12">
        <v>41219</v>
      </c>
      <c r="J3" s="12">
        <v>41220</v>
      </c>
      <c r="K3" s="12">
        <v>41221</v>
      </c>
      <c r="L3" s="12">
        <v>41222</v>
      </c>
      <c r="M3" s="12">
        <v>41194</v>
      </c>
      <c r="N3" s="12">
        <v>41195</v>
      </c>
      <c r="O3" s="12">
        <v>41196</v>
      </c>
    </row>
    <row r="4" spans="1:22" ht="36.75" customHeight="1">
      <c r="A4" s="17" t="s">
        <v>26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6"/>
    </row>
    <row r="5" spans="1:22">
      <c r="A5" s="2" t="s">
        <v>16</v>
      </c>
      <c r="B5" s="4">
        <v>0</v>
      </c>
      <c r="C5" s="4" t="s">
        <v>9</v>
      </c>
      <c r="D5" s="4" t="s">
        <v>5</v>
      </c>
      <c r="E5" s="4">
        <v>0</v>
      </c>
      <c r="F5" s="4">
        <f>E5</f>
        <v>0</v>
      </c>
      <c r="G5" s="4">
        <f>F5</f>
        <v>0</v>
      </c>
      <c r="H5" s="4">
        <f t="shared" ref="H5:O5" si="0">G5</f>
        <v>0</v>
      </c>
      <c r="I5" s="4">
        <f t="shared" si="0"/>
        <v>0</v>
      </c>
      <c r="J5" s="4">
        <f t="shared" si="0"/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</row>
    <row r="6" spans="1:22">
      <c r="A6" s="1" t="s">
        <v>17</v>
      </c>
      <c r="B6" s="3">
        <v>0</v>
      </c>
      <c r="C6" s="3" t="s">
        <v>8</v>
      </c>
      <c r="D6" s="3" t="s">
        <v>5</v>
      </c>
      <c r="E6" s="3">
        <v>0</v>
      </c>
      <c r="F6" s="3">
        <f t="shared" ref="F6:O13" si="1">E6</f>
        <v>0</v>
      </c>
      <c r="G6" s="3">
        <f t="shared" si="1"/>
        <v>0</v>
      </c>
      <c r="H6" s="3">
        <f t="shared" si="1"/>
        <v>0</v>
      </c>
      <c r="I6" s="3">
        <f t="shared" si="1"/>
        <v>0</v>
      </c>
      <c r="J6" s="3">
        <f t="shared" si="1"/>
        <v>0</v>
      </c>
      <c r="K6" s="3">
        <f t="shared" si="1"/>
        <v>0</v>
      </c>
      <c r="L6" s="3">
        <f t="shared" si="1"/>
        <v>0</v>
      </c>
      <c r="M6" s="3">
        <f t="shared" si="1"/>
        <v>0</v>
      </c>
      <c r="N6" s="3">
        <f t="shared" si="1"/>
        <v>0</v>
      </c>
      <c r="O6" s="3">
        <f t="shared" si="1"/>
        <v>0</v>
      </c>
    </row>
    <row r="7" spans="1:22">
      <c r="A7" s="2" t="s">
        <v>21</v>
      </c>
      <c r="B7" s="4">
        <v>0</v>
      </c>
      <c r="C7" s="4" t="s">
        <v>7</v>
      </c>
      <c r="D7" s="4" t="s">
        <v>5</v>
      </c>
      <c r="E7" s="4"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V7" s="25">
        <v>41213</v>
      </c>
    </row>
    <row r="8" spans="1:22">
      <c r="A8" s="1" t="s">
        <v>22</v>
      </c>
      <c r="B8" s="3">
        <v>6</v>
      </c>
      <c r="C8" s="3" t="s">
        <v>9</v>
      </c>
      <c r="D8" s="3" t="s">
        <v>5</v>
      </c>
      <c r="E8" s="3">
        <v>6</v>
      </c>
      <c r="F8" s="3">
        <v>3</v>
      </c>
      <c r="G8" s="3">
        <v>2</v>
      </c>
      <c r="H8" s="3">
        <v>1</v>
      </c>
      <c r="I8" s="3">
        <v>0</v>
      </c>
      <c r="J8" s="3">
        <v>0</v>
      </c>
      <c r="K8" s="3">
        <f t="shared" si="1"/>
        <v>0</v>
      </c>
      <c r="L8" s="3">
        <f t="shared" si="1"/>
        <v>0</v>
      </c>
      <c r="M8" s="3">
        <f t="shared" si="1"/>
        <v>0</v>
      </c>
      <c r="N8" s="3">
        <f t="shared" si="1"/>
        <v>0</v>
      </c>
      <c r="O8" s="3">
        <f t="shared" si="1"/>
        <v>0</v>
      </c>
      <c r="R8" s="18" t="s">
        <v>9</v>
      </c>
      <c r="S8" s="18" t="s">
        <v>3</v>
      </c>
      <c r="V8" s="25">
        <v>41214</v>
      </c>
    </row>
    <row r="9" spans="1:22">
      <c r="A9" s="2" t="s">
        <v>18</v>
      </c>
      <c r="B9" s="4">
        <v>0</v>
      </c>
      <c r="C9" s="4" t="s">
        <v>23</v>
      </c>
      <c r="D9" s="4" t="s">
        <v>5</v>
      </c>
      <c r="E9" s="4">
        <v>0</v>
      </c>
      <c r="F9" s="4">
        <f t="shared" si="1"/>
        <v>0</v>
      </c>
      <c r="G9" s="4">
        <f t="shared" si="1"/>
        <v>0</v>
      </c>
      <c r="H9" s="4">
        <f t="shared" si="1"/>
        <v>0</v>
      </c>
      <c r="I9" s="4">
        <f t="shared" si="1"/>
        <v>0</v>
      </c>
      <c r="J9" s="4">
        <f t="shared" si="1"/>
        <v>0</v>
      </c>
      <c r="K9" s="4">
        <f t="shared" si="1"/>
        <v>0</v>
      </c>
      <c r="L9" s="4">
        <f t="shared" si="1"/>
        <v>0</v>
      </c>
      <c r="M9" s="4">
        <f t="shared" si="1"/>
        <v>0</v>
      </c>
      <c r="N9" s="4">
        <f t="shared" si="1"/>
        <v>0</v>
      </c>
      <c r="O9" s="4">
        <f t="shared" si="1"/>
        <v>0</v>
      </c>
      <c r="R9" s="18" t="s">
        <v>7</v>
      </c>
      <c r="S9" s="18" t="s">
        <v>4</v>
      </c>
      <c r="V9" s="25">
        <v>41215</v>
      </c>
    </row>
    <row r="10" spans="1:22">
      <c r="A10" s="1" t="s">
        <v>19</v>
      </c>
      <c r="B10" s="3">
        <v>0</v>
      </c>
      <c r="C10" s="3" t="s">
        <v>8</v>
      </c>
      <c r="D10" s="3" t="s">
        <v>5</v>
      </c>
      <c r="E10" s="3">
        <v>0</v>
      </c>
      <c r="F10" s="3">
        <f t="shared" si="1"/>
        <v>0</v>
      </c>
      <c r="G10" s="3">
        <f t="shared" si="1"/>
        <v>0</v>
      </c>
      <c r="H10" s="3">
        <f t="shared" si="1"/>
        <v>0</v>
      </c>
      <c r="I10" s="3">
        <f t="shared" si="1"/>
        <v>0</v>
      </c>
      <c r="J10" s="3">
        <f t="shared" si="1"/>
        <v>0</v>
      </c>
      <c r="K10" s="3">
        <f t="shared" si="1"/>
        <v>0</v>
      </c>
      <c r="L10" s="3">
        <f t="shared" si="1"/>
        <v>0</v>
      </c>
      <c r="M10" s="3">
        <f t="shared" si="1"/>
        <v>0</v>
      </c>
      <c r="N10" s="3">
        <f t="shared" si="1"/>
        <v>0</v>
      </c>
      <c r="O10" s="3">
        <f t="shared" si="1"/>
        <v>0</v>
      </c>
      <c r="R10" s="18" t="s">
        <v>23</v>
      </c>
      <c r="S10" s="18" t="s">
        <v>5</v>
      </c>
      <c r="V10" s="25">
        <v>41218</v>
      </c>
    </row>
    <row r="11" spans="1:22">
      <c r="A11" s="10" t="s">
        <v>20</v>
      </c>
      <c r="B11" s="4">
        <v>0</v>
      </c>
      <c r="C11" s="4" t="s">
        <v>7</v>
      </c>
      <c r="D11" s="4" t="s">
        <v>5</v>
      </c>
      <c r="E11" s="4">
        <v>0</v>
      </c>
      <c r="F11" s="4">
        <f t="shared" si="1"/>
        <v>0</v>
      </c>
      <c r="G11" s="4">
        <f t="shared" si="1"/>
        <v>0</v>
      </c>
      <c r="H11" s="4">
        <f t="shared" si="1"/>
        <v>0</v>
      </c>
      <c r="I11" s="4">
        <f t="shared" si="1"/>
        <v>0</v>
      </c>
      <c r="J11" s="4">
        <f t="shared" si="1"/>
        <v>0</v>
      </c>
      <c r="K11" s="4">
        <f t="shared" si="1"/>
        <v>0</v>
      </c>
      <c r="L11" s="4">
        <f t="shared" si="1"/>
        <v>0</v>
      </c>
      <c r="M11" s="4">
        <f t="shared" si="1"/>
        <v>0</v>
      </c>
      <c r="N11" s="4">
        <f t="shared" si="1"/>
        <v>0</v>
      </c>
      <c r="O11" s="4">
        <f t="shared" si="1"/>
        <v>0</v>
      </c>
      <c r="R11" s="18" t="s">
        <v>8</v>
      </c>
      <c r="S11" s="18"/>
      <c r="V11" s="25">
        <v>41219</v>
      </c>
    </row>
    <row r="12" spans="1:22">
      <c r="A12" s="22" t="s">
        <v>39</v>
      </c>
      <c r="B12" s="3">
        <v>6</v>
      </c>
      <c r="C12" s="3" t="s">
        <v>8</v>
      </c>
      <c r="D12" s="3" t="s">
        <v>5</v>
      </c>
      <c r="E12" s="3">
        <v>6</v>
      </c>
      <c r="F12" s="3">
        <v>3</v>
      </c>
      <c r="G12" s="3">
        <v>1</v>
      </c>
      <c r="H12" s="3">
        <v>0</v>
      </c>
      <c r="I12" s="3">
        <f t="shared" si="1"/>
        <v>0</v>
      </c>
      <c r="J12" s="3">
        <f t="shared" si="1"/>
        <v>0</v>
      </c>
      <c r="K12" s="3">
        <f t="shared" si="1"/>
        <v>0</v>
      </c>
      <c r="L12" s="3">
        <f t="shared" si="1"/>
        <v>0</v>
      </c>
      <c r="M12" s="3">
        <f t="shared" si="1"/>
        <v>0</v>
      </c>
      <c r="N12" s="3">
        <f t="shared" si="1"/>
        <v>0</v>
      </c>
      <c r="O12" s="3">
        <f t="shared" si="1"/>
        <v>0</v>
      </c>
      <c r="R12" s="18"/>
      <c r="S12" s="18"/>
      <c r="V12" s="25">
        <v>41220</v>
      </c>
    </row>
    <row r="13" spans="1:22">
      <c r="A13" s="20" t="s">
        <v>40</v>
      </c>
      <c r="B13" s="21">
        <v>5</v>
      </c>
      <c r="C13" s="21" t="s">
        <v>7</v>
      </c>
      <c r="D13" s="21" t="s">
        <v>5</v>
      </c>
      <c r="E13" s="21">
        <v>5</v>
      </c>
      <c r="F13" s="21">
        <f t="shared" si="1"/>
        <v>5</v>
      </c>
      <c r="G13" s="21">
        <f t="shared" si="1"/>
        <v>5</v>
      </c>
      <c r="H13" s="21">
        <f t="shared" si="1"/>
        <v>5</v>
      </c>
      <c r="I13" s="21">
        <v>4</v>
      </c>
      <c r="J13" s="21">
        <v>2</v>
      </c>
      <c r="K13" s="21">
        <v>1</v>
      </c>
      <c r="L13" s="21"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R13" s="18" t="s">
        <v>15</v>
      </c>
      <c r="S13" s="18"/>
      <c r="V13" s="25">
        <v>41221</v>
      </c>
    </row>
    <row r="14" spans="1:22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V14" s="25">
        <v>41222</v>
      </c>
    </row>
    <row r="15" spans="1:22" ht="36" customHeight="1">
      <c r="A15" s="17" t="s">
        <v>28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6"/>
      <c r="V15" s="25">
        <v>41225</v>
      </c>
    </row>
    <row r="16" spans="1:22">
      <c r="A16" s="2" t="s">
        <v>35</v>
      </c>
      <c r="B16" s="4">
        <v>12</v>
      </c>
      <c r="C16" s="4" t="s">
        <v>9</v>
      </c>
      <c r="D16" s="4" t="s">
        <v>5</v>
      </c>
      <c r="E16" s="4">
        <v>12</v>
      </c>
      <c r="F16" s="4">
        <v>10</v>
      </c>
      <c r="G16" s="4">
        <v>8</v>
      </c>
      <c r="H16" s="4">
        <v>9</v>
      </c>
      <c r="I16" s="4">
        <v>6</v>
      </c>
      <c r="J16" s="4">
        <v>4</v>
      </c>
      <c r="K16" s="4">
        <v>3</v>
      </c>
      <c r="L16" s="4">
        <v>1</v>
      </c>
      <c r="M16" s="4">
        <v>0</v>
      </c>
      <c r="N16" s="4">
        <f t="shared" ref="N16:O16" si="2">M16</f>
        <v>0</v>
      </c>
      <c r="O16" s="4">
        <f t="shared" si="2"/>
        <v>0</v>
      </c>
      <c r="V16" s="25">
        <v>41226</v>
      </c>
    </row>
    <row r="17" spans="1:22" ht="15" customHeight="1">
      <c r="A17" s="1" t="s">
        <v>36</v>
      </c>
      <c r="B17" s="3">
        <v>4</v>
      </c>
      <c r="C17" s="3" t="s">
        <v>23</v>
      </c>
      <c r="D17" s="4" t="s">
        <v>5</v>
      </c>
      <c r="E17" s="3">
        <v>5</v>
      </c>
      <c r="F17" s="3">
        <v>3</v>
      </c>
      <c r="G17" s="3">
        <v>1</v>
      </c>
      <c r="H17" s="3">
        <v>0</v>
      </c>
      <c r="I17" s="3">
        <f t="shared" ref="F17:O22" si="3">H17</f>
        <v>0</v>
      </c>
      <c r="J17" s="3">
        <f t="shared" si="3"/>
        <v>0</v>
      </c>
      <c r="K17" s="3">
        <f t="shared" si="3"/>
        <v>0</v>
      </c>
      <c r="L17" s="3">
        <f t="shared" si="3"/>
        <v>0</v>
      </c>
      <c r="M17" s="3">
        <f t="shared" si="3"/>
        <v>0</v>
      </c>
      <c r="N17" s="3">
        <f t="shared" si="3"/>
        <v>0</v>
      </c>
      <c r="O17" s="3">
        <f t="shared" si="3"/>
        <v>0</v>
      </c>
      <c r="V17" s="25">
        <v>41227</v>
      </c>
    </row>
    <row r="18" spans="1:22">
      <c r="A18" s="2" t="s">
        <v>37</v>
      </c>
      <c r="B18" s="4">
        <v>3</v>
      </c>
      <c r="C18" s="4" t="s">
        <v>7</v>
      </c>
      <c r="D18" s="4" t="s">
        <v>5</v>
      </c>
      <c r="E18" s="4">
        <v>3</v>
      </c>
      <c r="F18" s="4">
        <v>2</v>
      </c>
      <c r="G18" s="4">
        <f t="shared" si="3"/>
        <v>2</v>
      </c>
      <c r="H18" s="4">
        <f t="shared" si="3"/>
        <v>2</v>
      </c>
      <c r="I18" s="4">
        <v>1</v>
      </c>
      <c r="J18" s="4">
        <f t="shared" si="3"/>
        <v>1</v>
      </c>
      <c r="K18" s="4">
        <v>0</v>
      </c>
      <c r="L18" s="4">
        <f t="shared" si="3"/>
        <v>0</v>
      </c>
      <c r="M18" s="4">
        <f t="shared" si="3"/>
        <v>0</v>
      </c>
      <c r="N18" s="4">
        <f t="shared" si="3"/>
        <v>0</v>
      </c>
      <c r="O18" s="4">
        <f t="shared" si="3"/>
        <v>0</v>
      </c>
      <c r="V18" s="24"/>
    </row>
    <row r="19" spans="1:22">
      <c r="A19" s="1" t="s">
        <v>30</v>
      </c>
      <c r="B19" s="3">
        <v>2</v>
      </c>
      <c r="C19" s="3" t="s">
        <v>8</v>
      </c>
      <c r="D19" s="4" t="s">
        <v>5</v>
      </c>
      <c r="E19" s="3">
        <v>2</v>
      </c>
      <c r="F19" s="3">
        <f t="shared" si="3"/>
        <v>2</v>
      </c>
      <c r="G19" s="3">
        <f t="shared" si="3"/>
        <v>2</v>
      </c>
      <c r="H19" s="3">
        <f t="shared" si="3"/>
        <v>2</v>
      </c>
      <c r="I19" s="3">
        <f t="shared" si="3"/>
        <v>2</v>
      </c>
      <c r="J19" s="3">
        <f t="shared" si="3"/>
        <v>2</v>
      </c>
      <c r="K19" s="3">
        <f t="shared" si="3"/>
        <v>2</v>
      </c>
      <c r="L19" s="3">
        <v>0</v>
      </c>
      <c r="M19" s="3">
        <f t="shared" si="3"/>
        <v>0</v>
      </c>
      <c r="N19" s="3">
        <f t="shared" si="3"/>
        <v>0</v>
      </c>
      <c r="O19" s="3">
        <f t="shared" si="3"/>
        <v>0</v>
      </c>
      <c r="V19" s="24"/>
    </row>
    <row r="20" spans="1:22">
      <c r="A20" s="2" t="s">
        <v>20</v>
      </c>
      <c r="B20" s="4">
        <v>3</v>
      </c>
      <c r="C20" s="4" t="s">
        <v>23</v>
      </c>
      <c r="D20" s="4" t="s">
        <v>5</v>
      </c>
      <c r="E20" s="4">
        <v>3</v>
      </c>
      <c r="F20" s="4">
        <f t="shared" si="3"/>
        <v>3</v>
      </c>
      <c r="G20" s="4">
        <f t="shared" si="3"/>
        <v>3</v>
      </c>
      <c r="H20" s="4">
        <f t="shared" si="3"/>
        <v>3</v>
      </c>
      <c r="I20" s="4">
        <f t="shared" si="3"/>
        <v>3</v>
      </c>
      <c r="J20" s="4">
        <v>2</v>
      </c>
      <c r="K20" s="4">
        <f t="shared" si="3"/>
        <v>2</v>
      </c>
      <c r="L20" s="4">
        <v>1</v>
      </c>
      <c r="M20" s="4">
        <v>0</v>
      </c>
      <c r="N20" s="4">
        <f t="shared" si="3"/>
        <v>0</v>
      </c>
      <c r="O20" s="4">
        <f t="shared" si="3"/>
        <v>0</v>
      </c>
      <c r="V20" s="24"/>
    </row>
    <row r="21" spans="1:22">
      <c r="A21" s="1" t="s">
        <v>38</v>
      </c>
      <c r="B21" s="3">
        <v>4</v>
      </c>
      <c r="C21" s="3" t="s">
        <v>7</v>
      </c>
      <c r="D21" s="4" t="s">
        <v>5</v>
      </c>
      <c r="E21" s="3">
        <v>4</v>
      </c>
      <c r="F21" s="3">
        <f>E21</f>
        <v>4</v>
      </c>
      <c r="G21" s="3">
        <f t="shared" si="3"/>
        <v>4</v>
      </c>
      <c r="H21" s="3">
        <f t="shared" si="3"/>
        <v>4</v>
      </c>
      <c r="I21" s="3">
        <f t="shared" si="3"/>
        <v>4</v>
      </c>
      <c r="J21" s="3">
        <f t="shared" si="3"/>
        <v>4</v>
      </c>
      <c r="K21" s="3">
        <f t="shared" si="3"/>
        <v>4</v>
      </c>
      <c r="L21" s="3">
        <f t="shared" si="3"/>
        <v>4</v>
      </c>
      <c r="M21" s="3">
        <v>2</v>
      </c>
      <c r="N21" s="3">
        <v>0</v>
      </c>
      <c r="O21" s="3">
        <f t="shared" si="3"/>
        <v>0</v>
      </c>
      <c r="V21" s="24"/>
    </row>
    <row r="22" spans="1:22">
      <c r="A22" s="20" t="s">
        <v>41</v>
      </c>
      <c r="B22" s="21">
        <v>5</v>
      </c>
      <c r="C22" s="21" t="s">
        <v>23</v>
      </c>
      <c r="D22" s="4" t="s">
        <v>5</v>
      </c>
      <c r="E22" s="21">
        <v>5</v>
      </c>
      <c r="F22" s="21">
        <f t="shared" si="3"/>
        <v>5</v>
      </c>
      <c r="G22" s="21">
        <f t="shared" si="3"/>
        <v>5</v>
      </c>
      <c r="H22" s="21">
        <f t="shared" si="3"/>
        <v>5</v>
      </c>
      <c r="I22" s="21">
        <f t="shared" si="3"/>
        <v>5</v>
      </c>
      <c r="J22" s="21">
        <f t="shared" si="3"/>
        <v>5</v>
      </c>
      <c r="K22" s="21">
        <f t="shared" si="3"/>
        <v>5</v>
      </c>
      <c r="L22" s="21">
        <f t="shared" si="3"/>
        <v>5</v>
      </c>
      <c r="M22" s="21">
        <f t="shared" si="3"/>
        <v>5</v>
      </c>
      <c r="N22" s="21">
        <v>3</v>
      </c>
      <c r="O22" s="21">
        <v>0</v>
      </c>
    </row>
    <row r="23" spans="1:22">
      <c r="A23" s="13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22" ht="36" customHeight="1">
      <c r="A24" s="17" t="s">
        <v>27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6"/>
    </row>
    <row r="25" spans="1:22">
      <c r="A25" s="2" t="s">
        <v>29</v>
      </c>
      <c r="B25" s="4">
        <v>6</v>
      </c>
      <c r="C25" s="4" t="s">
        <v>23</v>
      </c>
      <c r="D25" s="4" t="s">
        <v>5</v>
      </c>
      <c r="E25" s="4">
        <v>6</v>
      </c>
      <c r="F25" s="4">
        <f>E25</f>
        <v>6</v>
      </c>
      <c r="G25" s="4">
        <f t="shared" ref="G25:O25" si="4">F25</f>
        <v>6</v>
      </c>
      <c r="H25" s="4">
        <f t="shared" si="4"/>
        <v>6</v>
      </c>
      <c r="I25" s="4">
        <v>5</v>
      </c>
      <c r="J25" s="4">
        <v>3</v>
      </c>
      <c r="K25" s="4">
        <v>4</v>
      </c>
      <c r="L25" s="4">
        <v>2</v>
      </c>
      <c r="M25" s="4">
        <v>0</v>
      </c>
      <c r="N25" s="4">
        <f t="shared" si="4"/>
        <v>0</v>
      </c>
      <c r="O25" s="4">
        <f t="shared" si="4"/>
        <v>0</v>
      </c>
    </row>
    <row r="26" spans="1:22">
      <c r="A26" s="1" t="s">
        <v>30</v>
      </c>
      <c r="B26" s="3">
        <v>2</v>
      </c>
      <c r="C26" s="3" t="s">
        <v>8</v>
      </c>
      <c r="D26" s="4" t="s">
        <v>5</v>
      </c>
      <c r="E26" s="3">
        <v>2</v>
      </c>
      <c r="F26" s="3">
        <v>1</v>
      </c>
      <c r="G26" s="3">
        <v>0</v>
      </c>
      <c r="H26" s="3">
        <f t="shared" ref="F26:O30" si="5">G26</f>
        <v>0</v>
      </c>
      <c r="I26" s="3">
        <f t="shared" si="5"/>
        <v>0</v>
      </c>
      <c r="J26" s="3">
        <f t="shared" si="5"/>
        <v>0</v>
      </c>
      <c r="K26" s="3">
        <f t="shared" si="5"/>
        <v>0</v>
      </c>
      <c r="L26" s="3">
        <f t="shared" si="5"/>
        <v>0</v>
      </c>
      <c r="M26" s="3">
        <f t="shared" si="5"/>
        <v>0</v>
      </c>
      <c r="N26" s="3">
        <f t="shared" si="5"/>
        <v>0</v>
      </c>
      <c r="O26" s="3">
        <f t="shared" si="5"/>
        <v>0</v>
      </c>
    </row>
    <row r="27" spans="1:22">
      <c r="A27" s="2" t="s">
        <v>31</v>
      </c>
      <c r="B27" s="4">
        <v>3</v>
      </c>
      <c r="C27" s="4" t="s">
        <v>7</v>
      </c>
      <c r="D27" s="4" t="s">
        <v>5</v>
      </c>
      <c r="E27" s="4">
        <v>3</v>
      </c>
      <c r="F27" s="4">
        <f t="shared" si="5"/>
        <v>3</v>
      </c>
      <c r="G27" s="4">
        <f t="shared" si="5"/>
        <v>3</v>
      </c>
      <c r="H27" s="4">
        <f t="shared" si="5"/>
        <v>3</v>
      </c>
      <c r="I27" s="4">
        <f t="shared" si="5"/>
        <v>3</v>
      </c>
      <c r="J27" s="4">
        <v>2</v>
      </c>
      <c r="K27" s="4">
        <v>4</v>
      </c>
      <c r="L27" s="4">
        <v>1</v>
      </c>
      <c r="M27" s="4">
        <v>0</v>
      </c>
      <c r="N27" s="4">
        <f t="shared" ref="N27:O27" si="6">M27</f>
        <v>0</v>
      </c>
      <c r="O27" s="4">
        <f t="shared" si="6"/>
        <v>0</v>
      </c>
    </row>
    <row r="28" spans="1:22">
      <c r="A28" s="1" t="s">
        <v>32</v>
      </c>
      <c r="B28" s="3">
        <v>4</v>
      </c>
      <c r="C28" s="3" t="s">
        <v>8</v>
      </c>
      <c r="D28" s="4" t="s">
        <v>5</v>
      </c>
      <c r="E28" s="3">
        <v>4</v>
      </c>
      <c r="F28" s="3">
        <v>5</v>
      </c>
      <c r="G28" s="3">
        <f t="shared" si="5"/>
        <v>5</v>
      </c>
      <c r="H28" s="3">
        <f t="shared" si="5"/>
        <v>5</v>
      </c>
      <c r="I28" s="3">
        <v>3</v>
      </c>
      <c r="J28" s="3">
        <v>2</v>
      </c>
      <c r="K28" s="3">
        <v>1</v>
      </c>
      <c r="L28" s="3">
        <f t="shared" si="5"/>
        <v>1</v>
      </c>
      <c r="M28" s="3">
        <f t="shared" si="5"/>
        <v>1</v>
      </c>
      <c r="N28" s="3">
        <v>0</v>
      </c>
      <c r="O28" s="3">
        <f t="shared" si="5"/>
        <v>0</v>
      </c>
    </row>
    <row r="29" spans="1:22">
      <c r="A29" s="2" t="s">
        <v>33</v>
      </c>
      <c r="B29" s="4">
        <v>4</v>
      </c>
      <c r="C29" s="4" t="s">
        <v>7</v>
      </c>
      <c r="D29" s="4" t="s">
        <v>5</v>
      </c>
      <c r="E29" s="4">
        <v>4</v>
      </c>
      <c r="F29" s="4">
        <f t="shared" si="5"/>
        <v>4</v>
      </c>
      <c r="G29" s="4">
        <f t="shared" si="5"/>
        <v>4</v>
      </c>
      <c r="H29" s="4">
        <v>3</v>
      </c>
      <c r="I29" s="4">
        <v>1</v>
      </c>
      <c r="J29" s="4">
        <v>2</v>
      </c>
      <c r="K29" s="4">
        <v>0</v>
      </c>
      <c r="L29" s="4">
        <f t="shared" si="5"/>
        <v>0</v>
      </c>
      <c r="M29" s="4">
        <f t="shared" si="5"/>
        <v>0</v>
      </c>
      <c r="N29" s="4">
        <f t="shared" si="5"/>
        <v>0</v>
      </c>
      <c r="O29" s="4">
        <f t="shared" si="5"/>
        <v>0</v>
      </c>
    </row>
    <row r="30" spans="1:22">
      <c r="A30" s="19" t="s">
        <v>34</v>
      </c>
      <c r="B30" s="3">
        <v>4</v>
      </c>
      <c r="C30" s="3" t="s">
        <v>8</v>
      </c>
      <c r="D30" s="4" t="s">
        <v>5</v>
      </c>
      <c r="E30" s="3">
        <v>4</v>
      </c>
      <c r="F30" s="3">
        <f t="shared" si="5"/>
        <v>4</v>
      </c>
      <c r="G30" s="3">
        <f t="shared" si="5"/>
        <v>4</v>
      </c>
      <c r="H30" s="3">
        <f t="shared" si="5"/>
        <v>4</v>
      </c>
      <c r="I30" s="3">
        <f t="shared" si="5"/>
        <v>4</v>
      </c>
      <c r="J30" s="3">
        <f t="shared" si="5"/>
        <v>4</v>
      </c>
      <c r="K30" s="3">
        <v>3</v>
      </c>
      <c r="L30" s="3">
        <f t="shared" si="5"/>
        <v>3</v>
      </c>
      <c r="M30" s="3">
        <f t="shared" si="5"/>
        <v>3</v>
      </c>
      <c r="N30" s="3">
        <v>0</v>
      </c>
      <c r="O30" s="3">
        <f t="shared" si="5"/>
        <v>0</v>
      </c>
    </row>
    <row r="31" spans="1:22">
      <c r="A31" s="20" t="s">
        <v>41</v>
      </c>
      <c r="B31" s="21">
        <v>5</v>
      </c>
      <c r="C31" s="21" t="s">
        <v>23</v>
      </c>
      <c r="D31" s="4" t="s">
        <v>5</v>
      </c>
      <c r="E31" s="21">
        <v>5</v>
      </c>
      <c r="F31" s="21">
        <f>E31</f>
        <v>5</v>
      </c>
      <c r="G31" s="21">
        <f t="shared" ref="G31:M31" si="7">F31</f>
        <v>5</v>
      </c>
      <c r="H31" s="21">
        <f t="shared" si="7"/>
        <v>5</v>
      </c>
      <c r="I31" s="21">
        <f t="shared" si="7"/>
        <v>5</v>
      </c>
      <c r="J31" s="21">
        <f t="shared" si="7"/>
        <v>5</v>
      </c>
      <c r="K31" s="21">
        <f t="shared" si="7"/>
        <v>5</v>
      </c>
      <c r="L31" s="21">
        <f t="shared" si="7"/>
        <v>5</v>
      </c>
      <c r="M31" s="21">
        <f t="shared" si="7"/>
        <v>5</v>
      </c>
      <c r="N31" s="21">
        <v>3</v>
      </c>
      <c r="O31" s="21">
        <v>0</v>
      </c>
    </row>
    <row r="34" spans="1:15">
      <c r="A34" s="6" t="s">
        <v>6</v>
      </c>
      <c r="B34" s="5">
        <f>SUM(B5:B31)</f>
        <v>78</v>
      </c>
      <c r="D34" s="5"/>
      <c r="E34" s="5">
        <f t="shared" ref="E34:O34" si="8">SUM(E5:E30)</f>
        <v>74</v>
      </c>
      <c r="F34" s="5">
        <f t="shared" si="8"/>
        <v>63</v>
      </c>
      <c r="G34" s="5">
        <f t="shared" si="8"/>
        <v>55</v>
      </c>
      <c r="H34" s="5">
        <f t="shared" si="8"/>
        <v>52</v>
      </c>
      <c r="I34" s="5">
        <f t="shared" si="8"/>
        <v>41</v>
      </c>
      <c r="J34" s="5">
        <f t="shared" si="8"/>
        <v>33</v>
      </c>
      <c r="K34" s="5">
        <f t="shared" si="8"/>
        <v>29</v>
      </c>
      <c r="L34" s="5">
        <f t="shared" si="8"/>
        <v>18</v>
      </c>
      <c r="M34" s="5">
        <f t="shared" si="8"/>
        <v>11</v>
      </c>
      <c r="N34" s="5">
        <f t="shared" si="8"/>
        <v>3</v>
      </c>
      <c r="O34" s="5">
        <f t="shared" si="8"/>
        <v>0</v>
      </c>
    </row>
    <row r="35" spans="1:15">
      <c r="B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5">
      <c r="A36" s="9" t="s">
        <v>10</v>
      </c>
      <c r="B36" s="5">
        <f>MySum( R8, C5:C30)</f>
        <v>18</v>
      </c>
      <c r="D36" s="5"/>
      <c r="E36" s="5">
        <f>MySum( R8, C5:C30)</f>
        <v>18</v>
      </c>
      <c r="F36" s="5">
        <f>MySum(R8, C5:C30)</f>
        <v>13</v>
      </c>
      <c r="G36" s="5">
        <f>MySum(R8, C5:C30)</f>
        <v>10</v>
      </c>
      <c r="H36" s="5">
        <f>MySum(R8, C5:C30)</f>
        <v>10</v>
      </c>
      <c r="I36" s="5">
        <f>MySum(R8, C5:C30)</f>
        <v>6</v>
      </c>
      <c r="J36" s="5">
        <f>MySum(R8, C5:C30)</f>
        <v>4</v>
      </c>
      <c r="K36" s="5">
        <f>MySum(R8, C5:C30)</f>
        <v>3</v>
      </c>
      <c r="L36" s="5">
        <f>MySum(R8, C5:C30)</f>
        <v>1</v>
      </c>
      <c r="M36" s="5">
        <f>MySum(R8, C5:C30)</f>
        <v>0</v>
      </c>
      <c r="N36" s="5">
        <f>MySum(R8, C5:C30)</f>
        <v>0</v>
      </c>
      <c r="O36" s="5">
        <f>MySum(R8, C5:C30)</f>
        <v>0</v>
      </c>
    </row>
    <row r="37" spans="1:15">
      <c r="A37" s="9" t="s">
        <v>11</v>
      </c>
      <c r="B37" s="5">
        <f>MySum( R9, C5:C30)</f>
        <v>19</v>
      </c>
      <c r="D37" s="5"/>
      <c r="E37" s="5">
        <f>MySum( R9, C5:C30)</f>
        <v>19</v>
      </c>
      <c r="F37" s="5">
        <f>MySum(R9, C5:C30)</f>
        <v>18</v>
      </c>
      <c r="G37" s="5">
        <f>MySum(R9, C5:C30)</f>
        <v>18</v>
      </c>
      <c r="H37" s="5">
        <f>MySum(R9, C5:C30)</f>
        <v>17</v>
      </c>
      <c r="I37" s="5">
        <f>MySum(R9, C5:C30)</f>
        <v>13</v>
      </c>
      <c r="J37" s="5">
        <f>MySum(R9, C5:C30)</f>
        <v>11</v>
      </c>
      <c r="K37" s="5">
        <f>MySum(R9, C5:C30)</f>
        <v>9</v>
      </c>
      <c r="L37" s="5">
        <f>MySum(R9, C5:C30)</f>
        <v>5</v>
      </c>
      <c r="M37" s="5">
        <f>MySum(R9, C5:C30)</f>
        <v>2</v>
      </c>
      <c r="N37" s="5">
        <f>MySum(R9, C5:C30)</f>
        <v>0</v>
      </c>
      <c r="O37" s="5">
        <f>MySum(R9, C5:C30)</f>
        <v>0</v>
      </c>
    </row>
    <row r="38" spans="1:15">
      <c r="A38" s="9" t="s">
        <v>12</v>
      </c>
      <c r="B38" s="5">
        <f>MySum( R10, C5:C30)</f>
        <v>18</v>
      </c>
      <c r="D38" s="5"/>
      <c r="E38" s="5">
        <f>MySum( R10, C5:C30)</f>
        <v>19</v>
      </c>
      <c r="F38" s="5">
        <f>MySum(R10, C5:C30)</f>
        <v>17</v>
      </c>
      <c r="G38" s="5">
        <f>MySum(R10, C5:C30)</f>
        <v>15</v>
      </c>
      <c r="H38" s="5">
        <f>MySum(R10, C5:C30)</f>
        <v>14</v>
      </c>
      <c r="I38" s="5">
        <f>MySum(R10, C5:C30)</f>
        <v>13</v>
      </c>
      <c r="J38" s="5">
        <f>MySum(R10, C5:C30)</f>
        <v>10</v>
      </c>
      <c r="K38" s="5">
        <f>MySum(R10, C5:C30)</f>
        <v>11</v>
      </c>
      <c r="L38" s="5">
        <f>MySum(R10, C5:C30)</f>
        <v>8</v>
      </c>
      <c r="M38" s="5">
        <f>MySum(R10, C5:C30)</f>
        <v>5</v>
      </c>
      <c r="N38" s="5">
        <f>MySum(R10, C5:C30)</f>
        <v>3</v>
      </c>
      <c r="O38" s="5">
        <f>MySum(R10, C5:C30)</f>
        <v>0</v>
      </c>
    </row>
    <row r="39" spans="1:15">
      <c r="A39" s="9" t="s">
        <v>13</v>
      </c>
      <c r="B39" s="5">
        <f>MySum( R11, C5:C30)</f>
        <v>18</v>
      </c>
      <c r="D39" s="5"/>
      <c r="E39" s="5">
        <f>MySum(R11, C5:C30)</f>
        <v>18</v>
      </c>
      <c r="F39" s="5">
        <f>MySum(R11, C5:C30)</f>
        <v>15</v>
      </c>
      <c r="G39" s="5">
        <f>MySum(R11, C5:C30)</f>
        <v>12</v>
      </c>
      <c r="H39" s="5">
        <f>MySum(R11, C5:C30)</f>
        <v>11</v>
      </c>
      <c r="I39" s="5">
        <f>MySum(R11, C5:C30)</f>
        <v>9</v>
      </c>
      <c r="J39" s="5">
        <f>MySum(R11, C5:C30)</f>
        <v>8</v>
      </c>
      <c r="K39" s="5">
        <f>MySum(R11, C5:C30)</f>
        <v>6</v>
      </c>
      <c r="L39" s="5">
        <f>MySum(R11, C5:C30)</f>
        <v>4</v>
      </c>
      <c r="M39" s="5">
        <f>MySum(R11, C5:C30)</f>
        <v>4</v>
      </c>
      <c r="N39" s="5">
        <f>MySum(R11, C5:C30)</f>
        <v>0</v>
      </c>
      <c r="O39" s="5">
        <f>MySum(R11, C5:C30)</f>
        <v>0</v>
      </c>
    </row>
    <row r="40" spans="1:15">
      <c r="A40" s="8"/>
    </row>
    <row r="41" spans="1:15">
      <c r="A41" s="6" t="s">
        <v>24</v>
      </c>
      <c r="B41" s="5">
        <f>SUM(B5:B30)</f>
        <v>73</v>
      </c>
      <c r="D41" s="5"/>
      <c r="E41" s="5">
        <f>B41</f>
        <v>73</v>
      </c>
      <c r="F41" s="5">
        <f>E41 - 8</f>
        <v>65</v>
      </c>
      <c r="G41" s="5">
        <f t="shared" ref="G41:N41" si="9">F41 - 8</f>
        <v>57</v>
      </c>
      <c r="H41" s="5">
        <f t="shared" si="9"/>
        <v>49</v>
      </c>
      <c r="I41" s="5">
        <f t="shared" si="9"/>
        <v>41</v>
      </c>
      <c r="J41" s="5">
        <f t="shared" si="9"/>
        <v>33</v>
      </c>
      <c r="K41" s="5">
        <f t="shared" si="9"/>
        <v>25</v>
      </c>
      <c r="L41" s="5">
        <f t="shared" si="9"/>
        <v>17</v>
      </c>
      <c r="M41" s="5">
        <f t="shared" si="9"/>
        <v>9</v>
      </c>
      <c r="N41" s="5">
        <f t="shared" si="9"/>
        <v>1</v>
      </c>
      <c r="O41" s="5">
        <v>0</v>
      </c>
    </row>
  </sheetData>
  <mergeCells count="1">
    <mergeCell ref="A1:N1"/>
  </mergeCells>
  <conditionalFormatting sqref="D23 D8:D14">
    <cfRule type="containsText" dxfId="17" priority="97" operator="containsText" text="Completed">
      <formula>NOT(ISERROR(SEARCH("Completed",D8)))</formula>
    </cfRule>
    <cfRule type="containsText" dxfId="16" priority="98" operator="containsText" text="In Progress">
      <formula>NOT(ISERROR(SEARCH("In Progress",D8)))</formula>
    </cfRule>
    <cfRule type="containsText" dxfId="15" priority="99" operator="containsText" text="To Do">
      <formula>NOT(ISERROR(SEARCH("To Do",D8)))</formula>
    </cfRule>
  </conditionalFormatting>
  <conditionalFormatting sqref="D7">
    <cfRule type="containsText" dxfId="14" priority="88" operator="containsText" text="Completed">
      <formula>NOT(ISERROR(SEARCH("Completed",D7)))</formula>
    </cfRule>
    <cfRule type="containsText" dxfId="13" priority="89" operator="containsText" text="In Progress">
      <formula>NOT(ISERROR(SEARCH("In Progress",D7)))</formula>
    </cfRule>
    <cfRule type="containsText" dxfId="12" priority="90" operator="containsText" text="To Do">
      <formula>NOT(ISERROR(SEARCH("To Do",D7)))</formula>
    </cfRule>
  </conditionalFormatting>
  <conditionalFormatting sqref="D5">
    <cfRule type="containsText" dxfId="11" priority="73" operator="containsText" text="Completed">
      <formula>NOT(ISERROR(SEARCH("Completed",D5)))</formula>
    </cfRule>
    <cfRule type="containsText" dxfId="10" priority="74" operator="containsText" text="In Progress">
      <formula>NOT(ISERROR(SEARCH("In Progress",D5)))</formula>
    </cfRule>
    <cfRule type="containsText" dxfId="9" priority="75" operator="containsText" text="To Do">
      <formula>NOT(ISERROR(SEARCH("To Do",D5)))</formula>
    </cfRule>
  </conditionalFormatting>
  <conditionalFormatting sqref="D6">
    <cfRule type="containsText" dxfId="8" priority="70" operator="containsText" text="Completed">
      <formula>NOT(ISERROR(SEARCH("Completed",D6)))</formula>
    </cfRule>
    <cfRule type="containsText" dxfId="7" priority="71" operator="containsText" text="In Progress">
      <formula>NOT(ISERROR(SEARCH("In Progress",D6)))</formula>
    </cfRule>
    <cfRule type="containsText" dxfId="6" priority="72" operator="containsText" text="To Do">
      <formula>NOT(ISERROR(SEARCH("To Do",D6)))</formula>
    </cfRule>
  </conditionalFormatting>
  <conditionalFormatting sqref="D25:D31">
    <cfRule type="containsText" dxfId="5" priority="37" operator="containsText" text="Completed">
      <formula>NOT(ISERROR(SEARCH("Completed",D25)))</formula>
    </cfRule>
    <cfRule type="containsText" dxfId="4" priority="38" operator="containsText" text="In Progress">
      <formula>NOT(ISERROR(SEARCH("In Progress",D25)))</formula>
    </cfRule>
    <cfRule type="containsText" dxfId="3" priority="39" operator="containsText" text="To Do">
      <formula>NOT(ISERROR(SEARCH("To Do",D25)))</formula>
    </cfRule>
  </conditionalFormatting>
  <conditionalFormatting sqref="D16:D22">
    <cfRule type="containsText" dxfId="2" priority="7" operator="containsText" text="Completed">
      <formula>NOT(ISERROR(SEARCH("Completed",D16)))</formula>
    </cfRule>
    <cfRule type="containsText" dxfId="1" priority="8" operator="containsText" text="In Progress">
      <formula>NOT(ISERROR(SEARCH("In Progress",D16)))</formula>
    </cfRule>
    <cfRule type="containsText" dxfId="0" priority="9" operator="containsText" text="To Do">
      <formula>NOT(ISERROR(SEARCH("To Do",D16)))</formula>
    </cfRule>
  </conditionalFormatting>
  <dataValidations count="2">
    <dataValidation type="list" allowBlank="1" showInputMessage="1" showErrorMessage="1" sqref="D5:D14 D16:D23 D25:D31">
      <formula1>$S$8:$S$10</formula1>
    </dataValidation>
    <dataValidation type="list" allowBlank="1" showInputMessage="1" showErrorMessage="1" sqref="C25:C31 C16:C23 C5:C14">
      <formula1>$R$8:$R$13</formula1>
    </dataValidation>
  </dataValidation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Ross Strachan</cp:lastModifiedBy>
  <dcterms:created xsi:type="dcterms:W3CDTF">2012-09-26T13:05:49Z</dcterms:created>
  <dcterms:modified xsi:type="dcterms:W3CDTF">2012-11-14T15:10:30Z</dcterms:modified>
</cp:coreProperties>
</file>